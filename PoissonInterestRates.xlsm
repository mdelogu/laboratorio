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codelogu/Dropbox/Laboratorio Economia E finanza/Laboratorio20192020/Lezione4/"/>
    </mc:Choice>
  </mc:AlternateContent>
  <xr:revisionPtr revIDLastSave="0" documentId="13_ncr:1_{390A76AA-D4D2-EC43-BC2C-3B5C59493CA5}" xr6:coauthVersionLast="45" xr6:coauthVersionMax="45" xr10:uidLastSave="{00000000-0000-0000-0000-000000000000}"/>
  <bookViews>
    <workbookView xWindow="2520" yWindow="5780" windowWidth="20740" windowHeight="11160" activeTab="4" xr2:uid="{5501CA1B-FD3C-4688-9494-D4676C8FB880}"/>
  </bookViews>
  <sheets>
    <sheet name="exampledata" sheetId="1" r:id="rId1"/>
    <sheet name="Solutions exercises" sheetId="3" r:id="rId2"/>
    <sheet name="Poisson2" sheetId="5" r:id="rId3"/>
    <sheet name="Poisson" sheetId="2" r:id="rId4"/>
    <sheet name="InterestRates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4" l="1"/>
  <c r="L5" i="3" l="1"/>
  <c r="L6" i="3"/>
  <c r="F7" i="3"/>
  <c r="J19" i="2"/>
  <c r="J18" i="2"/>
  <c r="H2" i="4" l="1"/>
  <c r="H3" i="4"/>
  <c r="L7" i="3"/>
  <c r="L4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2" i="1"/>
  <c r="J19" i="5" l="1"/>
  <c r="J18" i="5"/>
  <c r="A4" i="5"/>
  <c r="A5" i="5" s="1"/>
  <c r="C3" i="5"/>
  <c r="B3" i="5"/>
  <c r="A6" i="5" l="1"/>
  <c r="C5" i="5"/>
  <c r="B5" i="5"/>
  <c r="B4" i="5"/>
  <c r="C4" i="5"/>
  <c r="F6" i="3"/>
  <c r="F5" i="3"/>
  <c r="B4" i="3"/>
  <c r="B5" i="3" s="1"/>
  <c r="B13" i="4"/>
  <c r="B8" i="4"/>
  <c r="B6" i="5" l="1"/>
  <c r="A7" i="5"/>
  <c r="C6" i="5"/>
  <c r="C3" i="2"/>
  <c r="B3" i="2"/>
  <c r="A4" i="2"/>
  <c r="C4" i="2" s="1"/>
  <c r="G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G3" i="1"/>
  <c r="G2" i="1"/>
  <c r="F3" i="1"/>
  <c r="F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C7" i="5" l="1"/>
  <c r="B7" i="5"/>
  <c r="A8" i="5"/>
  <c r="F14" i="1"/>
  <c r="F10" i="1"/>
  <c r="F6" i="1"/>
  <c r="G14" i="1"/>
  <c r="G10" i="1"/>
  <c r="G6" i="1"/>
  <c r="B4" i="2"/>
  <c r="F17" i="1"/>
  <c r="F13" i="1"/>
  <c r="F9" i="1"/>
  <c r="F5" i="1"/>
  <c r="G13" i="1"/>
  <c r="G9" i="1"/>
  <c r="G5" i="1"/>
  <c r="B19" i="1"/>
  <c r="F16" i="1"/>
  <c r="F12" i="1"/>
  <c r="F8" i="1"/>
  <c r="F4" i="1"/>
  <c r="G16" i="1"/>
  <c r="G12" i="1"/>
  <c r="G8" i="1"/>
  <c r="G4" i="1"/>
  <c r="F15" i="1"/>
  <c r="F11" i="1"/>
  <c r="F7" i="1"/>
  <c r="G15" i="1"/>
  <c r="G11" i="1"/>
  <c r="G7" i="1"/>
  <c r="A5" i="2"/>
  <c r="A9" i="5" l="1"/>
  <c r="C8" i="5"/>
  <c r="B8" i="5"/>
  <c r="D2" i="1"/>
  <c r="E2" i="1" s="1"/>
  <c r="D3" i="1"/>
  <c r="E3" i="1" s="1"/>
  <c r="C20" i="1"/>
  <c r="D4" i="1"/>
  <c r="E4" i="1" s="1"/>
  <c r="D16" i="1"/>
  <c r="E16" i="1" s="1"/>
  <c r="D10" i="1"/>
  <c r="E10" i="1" s="1"/>
  <c r="D15" i="1"/>
  <c r="E15" i="1" s="1"/>
  <c r="D6" i="1"/>
  <c r="E6" i="1" s="1"/>
  <c r="D17" i="1"/>
  <c r="E17" i="1" s="1"/>
  <c r="D12" i="1"/>
  <c r="E12" i="1" s="1"/>
  <c r="D13" i="1"/>
  <c r="E13" i="1" s="1"/>
  <c r="D11" i="1"/>
  <c r="E11" i="1" s="1"/>
  <c r="D9" i="1"/>
  <c r="E9" i="1" s="1"/>
  <c r="D8" i="1"/>
  <c r="E8" i="1" s="1"/>
  <c r="D5" i="1"/>
  <c r="E5" i="1" s="1"/>
  <c r="D7" i="1"/>
  <c r="E7" i="1" s="1"/>
  <c r="D14" i="1"/>
  <c r="E14" i="1" s="1"/>
  <c r="B5" i="2"/>
  <c r="C5" i="2"/>
  <c r="A6" i="2"/>
  <c r="A10" i="5" l="1"/>
  <c r="C9" i="5"/>
  <c r="B9" i="5"/>
  <c r="B20" i="1"/>
  <c r="A7" i="2"/>
  <c r="B6" i="2"/>
  <c r="C6" i="2"/>
  <c r="B10" i="5" l="1"/>
  <c r="A11" i="5"/>
  <c r="C10" i="5"/>
  <c r="A8" i="2"/>
  <c r="B7" i="2"/>
  <c r="C7" i="2"/>
  <c r="C11" i="5" l="1"/>
  <c r="B11" i="5"/>
  <c r="A12" i="5"/>
  <c r="A9" i="2"/>
  <c r="C8" i="2"/>
  <c r="B8" i="2"/>
  <c r="A13" i="5" l="1"/>
  <c r="C12" i="5"/>
  <c r="B12" i="5"/>
  <c r="A10" i="2"/>
  <c r="B9" i="2"/>
  <c r="C9" i="2"/>
  <c r="A14" i="5" l="1"/>
  <c r="C13" i="5"/>
  <c r="B13" i="5"/>
  <c r="A11" i="2"/>
  <c r="B10" i="2"/>
  <c r="C10" i="2"/>
  <c r="B14" i="5" l="1"/>
  <c r="A15" i="5"/>
  <c r="C14" i="5"/>
  <c r="A12" i="2"/>
  <c r="B11" i="2"/>
  <c r="C11" i="2"/>
  <c r="C15" i="5" l="1"/>
  <c r="B15" i="5"/>
  <c r="A16" i="5"/>
  <c r="A13" i="2"/>
  <c r="C12" i="2"/>
  <c r="B12" i="2"/>
  <c r="A17" i="5" l="1"/>
  <c r="B16" i="5"/>
  <c r="C16" i="5"/>
  <c r="A14" i="2"/>
  <c r="B13" i="2"/>
  <c r="C13" i="2"/>
  <c r="C17" i="5" l="1"/>
  <c r="B17" i="5"/>
  <c r="B14" i="2"/>
  <c r="C14" i="2"/>
  <c r="A15" i="2"/>
  <c r="B15" i="2" l="1"/>
  <c r="C15" i="2"/>
  <c r="A16" i="2"/>
  <c r="A17" i="2" l="1"/>
  <c r="C16" i="2"/>
  <c r="B16" i="2"/>
  <c r="B17" i="2" l="1"/>
  <c r="C17" i="2"/>
</calcChain>
</file>

<file path=xl/sharedStrings.xml><?xml version="1.0" encoding="utf-8"?>
<sst xmlns="http://schemas.openxmlformats.org/spreadsheetml/2006/main" count="46" uniqueCount="37">
  <si>
    <t>Number of cars</t>
  </si>
  <si>
    <t>Frequency</t>
  </si>
  <si>
    <t>Empirical Mean</t>
  </si>
  <si>
    <t>cars time frequency</t>
  </si>
  <si>
    <t>Variance</t>
  </si>
  <si>
    <t>deviation squared</t>
  </si>
  <si>
    <t>deviation squared time frequency</t>
  </si>
  <si>
    <t>Formula 2</t>
  </si>
  <si>
    <t>Formula 1</t>
  </si>
  <si>
    <t xml:space="preserve">Poisson </t>
  </si>
  <si>
    <t>Empirical</t>
  </si>
  <si>
    <t>larger than 15!</t>
  </si>
  <si>
    <t>x</t>
  </si>
  <si>
    <t>Cumulative</t>
  </si>
  <si>
    <t>Poisson density lambda=4</t>
  </si>
  <si>
    <t>Exercise 1</t>
  </si>
  <si>
    <t>mean</t>
  </si>
  <si>
    <t>solution</t>
  </si>
  <si>
    <t>Exercise 2</t>
  </si>
  <si>
    <t>Point a</t>
  </si>
  <si>
    <t>point 1</t>
  </si>
  <si>
    <t>point2</t>
  </si>
  <si>
    <t>point3</t>
  </si>
  <si>
    <t>example rounding</t>
  </si>
  <si>
    <t>Go to the visual basic editor to find the solution to the proposed exercise. Better if you try by yourself in advance</t>
  </si>
  <si>
    <t>Conversion  1</t>
  </si>
  <si>
    <t>m</t>
  </si>
  <si>
    <t>Interest rate</t>
  </si>
  <si>
    <t>Equivalent with continous compuinding</t>
  </si>
  <si>
    <t>Conversion 2</t>
  </si>
  <si>
    <t>Interest rate continous</t>
  </si>
  <si>
    <t>Equivalent annual with m  compounding</t>
  </si>
  <si>
    <t>Exercise 3</t>
  </si>
  <si>
    <t>POINT1</t>
  </si>
  <si>
    <t>Point2</t>
  </si>
  <si>
    <t>point4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</si>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</sst>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Poisson2!$B$2</c:f>
              <c:strCache>
                <c:ptCount val="1"/>
                <c:pt idx="0">
                  <c:v>Poisson density lambda=4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Poisson2!$B$3:$B$17</c:f>
              <c:numCache>
                <c:formatCode>General</c:formatCode>
                <c:ptCount val="15"/>
                <c:pt idx="0">
                  <c:v>1.8315638888734179E-2</c:v>
                </c:pt>
                <c:pt idx="1">
                  <c:v>7.3262555554936715E-2</c:v>
                </c:pt>
                <c:pt idx="2">
                  <c:v>0.14652511110987346</c:v>
                </c:pt>
                <c:pt idx="3">
                  <c:v>0.19536681481316462</c:v>
                </c:pt>
                <c:pt idx="4">
                  <c:v>0.19536681481316462</c:v>
                </c:pt>
                <c:pt idx="5">
                  <c:v>0.1562934518505317</c:v>
                </c:pt>
                <c:pt idx="6">
                  <c:v>0.10419563456702115</c:v>
                </c:pt>
                <c:pt idx="7">
                  <c:v>5.9540362609726373E-2</c:v>
                </c:pt>
                <c:pt idx="8">
                  <c:v>2.9770181304863183E-2</c:v>
                </c:pt>
                <c:pt idx="9">
                  <c:v>1.3231191691050297E-2</c:v>
                </c:pt>
                <c:pt idx="10">
                  <c:v>5.2924766764201169E-3</c:v>
                </c:pt>
                <c:pt idx="11">
                  <c:v>1.9245369732436813E-3</c:v>
                </c:pt>
                <c:pt idx="12">
                  <c:v>6.4151232441456022E-4</c:v>
                </c:pt>
                <c:pt idx="13">
                  <c:v>1.9738840751217212E-4</c:v>
                </c:pt>
                <c:pt idx="14">
                  <c:v>5.6396687860620615E-5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6-154F-B100-02DDD9C54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3941504"/>
        <c:axId val="573326128"/>
      </c:barChart>
      <c:catAx>
        <c:axId val="483941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73326128"/>
        <c:crosses val="autoZero"/>
        <c:auto val="1"/>
        <c:lblAlgn val="ctr"/>
        <c:lblOffset val="100"/>
        <c:noMultiLvlLbl val="0"/>
      </c:catAx>
      <c:valAx>
        <c:axId val="5733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48394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Poisson2!$C$2</c:f>
              <c:strCache>
                <c:ptCount val="1"/>
                <c:pt idx="0">
                  <c:v>Cumulative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Poisson2!$A$3:$A$17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Poisson2!$C$3:$C$17</c:f>
              <c:numCache>
                <c:formatCode>General</c:formatCode>
                <c:ptCount val="15"/>
                <c:pt idx="0">
                  <c:v>1.8315638888734179E-2</c:v>
                </c:pt>
                <c:pt idx="1">
                  <c:v>9.1578194443670893E-2</c:v>
                </c:pt>
                <c:pt idx="2">
                  <c:v>0.23810330555354431</c:v>
                </c:pt>
                <c:pt idx="3">
                  <c:v>0.43347012036670896</c:v>
                </c:pt>
                <c:pt idx="4">
                  <c:v>0.62883693517987349</c:v>
                </c:pt>
                <c:pt idx="5">
                  <c:v>0.78513038703040516</c:v>
                </c:pt>
                <c:pt idx="6">
                  <c:v>0.88932602159742624</c:v>
                </c:pt>
                <c:pt idx="7">
                  <c:v>0.94886638420715264</c:v>
                </c:pt>
                <c:pt idx="8">
                  <c:v>0.97863656551201583</c:v>
                </c:pt>
                <c:pt idx="9">
                  <c:v>0.99186775720306608</c:v>
                </c:pt>
                <c:pt idx="10">
                  <c:v>0.99716023387948627</c:v>
                </c:pt>
                <c:pt idx="11">
                  <c:v>0.99908477085272995</c:v>
                </c:pt>
                <c:pt idx="12">
                  <c:v>0.99972628317714451</c:v>
                </c:pt>
                <c:pt idx="13">
                  <c:v>0.99992367158465667</c:v>
                </c:pt>
                <c:pt idx="14">
                  <c:v>0.99998006827251729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D0-4D4A-AB08-C8B62E63D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22128"/>
        <c:axId val="524786592"/>
      </c:scatterChart>
      <c:valAx>
        <c:axId val="52522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24786592"/>
        <c:crosses val="autoZero"/>
        <c:crossBetween val="midCat"/>
      </c:valAx>
      <c:valAx>
        <c:axId val="52478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2522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Poisson!$C$2</c:f>
              <c:strCache>
                <c:ptCount val="1"/>
                <c:pt idx="0">
                  <c:v>Cumulative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Poisson!$A$3:$A$17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Poisson!$C$3:$C$17</c:f>
              <c:numCache>
                <c:formatCode>General</c:formatCode>
                <c:ptCount val="15"/>
                <c:pt idx="0">
                  <c:v>1.8315638888734179E-2</c:v>
                </c:pt>
                <c:pt idx="1">
                  <c:v>9.1578194443670893E-2</c:v>
                </c:pt>
                <c:pt idx="2">
                  <c:v>0.23810330555354431</c:v>
                </c:pt>
                <c:pt idx="3">
                  <c:v>0.43347012036670896</c:v>
                </c:pt>
                <c:pt idx="4">
                  <c:v>0.62883693517987349</c:v>
                </c:pt>
                <c:pt idx="5">
                  <c:v>0.78513038703040516</c:v>
                </c:pt>
                <c:pt idx="6">
                  <c:v>0.88932602159742624</c:v>
                </c:pt>
                <c:pt idx="7">
                  <c:v>0.94886638420715264</c:v>
                </c:pt>
                <c:pt idx="8">
                  <c:v>0.97863656551201583</c:v>
                </c:pt>
                <c:pt idx="9">
                  <c:v>0.99186775720306608</c:v>
                </c:pt>
                <c:pt idx="10">
                  <c:v>0.99716023387948627</c:v>
                </c:pt>
                <c:pt idx="11">
                  <c:v>0.99908477085272995</c:v>
                </c:pt>
                <c:pt idx="12">
                  <c:v>0.99972628317714451</c:v>
                </c:pt>
                <c:pt idx="13">
                  <c:v>0.99992367158465667</c:v>
                </c:pt>
                <c:pt idx="14">
                  <c:v>0.99998006827251729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9-43F6-9B94-294E969D5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730888"/>
        <c:axId val="6787315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Poisson!$B$2</c15:sqref>
                        </c15:formulaRef>
                      </c:ext>
                    </c:extLst>
                    <c:strCache>
                      <c:ptCount val="1"/>
                      <c:pt idx="0">
                        <c:v>Poisson density lambda=4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Poisson!$A$3:$A$17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Poisson!$B$3:$B$17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1.8315638888734179E-2</c:v>
                      </c:pt>
                      <c:pt idx="1">
                        <c:v>7.3262555554936715E-2</c:v>
                      </c:pt>
                      <c:pt idx="2">
                        <c:v>0.14652511110987346</c:v>
                      </c:pt>
                      <c:pt idx="3">
                        <c:v>0.19536681481316462</c:v>
                      </c:pt>
                      <c:pt idx="4">
                        <c:v>0.19536681481316462</c:v>
                      </c:pt>
                      <c:pt idx="5">
                        <c:v>0.1562934518505317</c:v>
                      </c:pt>
                      <c:pt idx="6">
                        <c:v>0.10419563456702115</c:v>
                      </c:pt>
                      <c:pt idx="7">
                        <c:v>5.9540362609726373E-2</c:v>
                      </c:pt>
                      <c:pt idx="8">
                        <c:v>2.9770181304863183E-2</c:v>
                      </c:pt>
                      <c:pt idx="9">
                        <c:v>1.3231191691050297E-2</c:v>
                      </c:pt>
                      <c:pt idx="10">
                        <c:v>5.2924766764201169E-3</c:v>
                      </c:pt>
                      <c:pt idx="11">
                        <c:v>1.9245369732436813E-3</c:v>
                      </c:pt>
                      <c:pt idx="12">
                        <c:v>6.4151232441456022E-4</c:v>
                      </c:pt>
                      <c:pt idx="13">
                        <c:v>1.9738840751217212E-4</c:v>
                      </c:pt>
                      <c:pt idx="14">
                        <c:v>5.6396687860620615E-5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5D9-43F6-9B94-294E969D57A5}"/>
                  </c:ext>
                </c:extLst>
              </c15:ser>
            </c15:filteredScatterSeries>
          </c:ext>
        </c:extLst>
      </c:scatterChart>
      <c:valAx>
        <c:axId val="67873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78731544"/>
        <c:crosses val="autoZero"/>
        <c:crossBetween val="midCat"/>
      </c:valAx>
      <c:valAx>
        <c:axId val="67873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78730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Poisson!$B$2</c:f>
              <c:strCache>
                <c:ptCount val="1"/>
                <c:pt idx="0">
                  <c:v>Poisson density lambda=4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Poisson!$B$3:$B$17</c:f>
              <c:numCache>
                <c:formatCode>General</c:formatCode>
                <c:ptCount val="15"/>
                <c:pt idx="0">
                  <c:v>1.8315638888734179E-2</c:v>
                </c:pt>
                <c:pt idx="1">
                  <c:v>7.3262555554936715E-2</c:v>
                </c:pt>
                <c:pt idx="2">
                  <c:v>0.14652511110987346</c:v>
                </c:pt>
                <c:pt idx="3">
                  <c:v>0.19536681481316462</c:v>
                </c:pt>
                <c:pt idx="4">
                  <c:v>0.19536681481316462</c:v>
                </c:pt>
                <c:pt idx="5">
                  <c:v>0.1562934518505317</c:v>
                </c:pt>
                <c:pt idx="6">
                  <c:v>0.10419563456702115</c:v>
                </c:pt>
                <c:pt idx="7">
                  <c:v>5.9540362609726373E-2</c:v>
                </c:pt>
                <c:pt idx="8">
                  <c:v>2.9770181304863183E-2</c:v>
                </c:pt>
                <c:pt idx="9">
                  <c:v>1.3231191691050297E-2</c:v>
                </c:pt>
                <c:pt idx="10">
                  <c:v>5.2924766764201169E-3</c:v>
                </c:pt>
                <c:pt idx="11">
                  <c:v>1.9245369732436813E-3</c:v>
                </c:pt>
                <c:pt idx="12">
                  <c:v>6.4151232441456022E-4</c:v>
                </c:pt>
                <c:pt idx="13">
                  <c:v>1.9738840751217212E-4</c:v>
                </c:pt>
                <c:pt idx="14">
                  <c:v>5.6396687860620615E-5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0E-2A4E-A9CF-E6BC0086A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70480"/>
        <c:axId val="427163456"/>
      </c:barChart>
      <c:catAx>
        <c:axId val="4826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427163456"/>
        <c:crosses val="autoZero"/>
        <c:auto val="1"/>
        <c:lblAlgn val="ctr"/>
        <c:lblOffset val="100"/>
        <c:noMultiLvlLbl val="0"/>
      </c:catAx>
      <c:valAx>
        <c:axId val="42716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4826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3</xdr:row>
      <xdr:rowOff>95250</xdr:rowOff>
    </xdr:from>
    <xdr:to>
      <xdr:col>12</xdr:col>
      <xdr:colOff>647700</xdr:colOff>
      <xdr:row>17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E66E58-1577-6844-B78A-F554CD41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533400</xdr:colOff>
      <xdr:row>3</xdr:row>
      <xdr:rowOff>95250</xdr:rowOff>
    </xdr:from>
    <xdr:to>
      <xdr:col>19</xdr:col>
      <xdr:colOff>393700</xdr:colOff>
      <xdr:row>17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1741CF8-C189-ED4D-A6B7-AA283B8917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314325</xdr:colOff>
      <xdr:row>1</xdr:row>
      <xdr:rowOff>33337</xdr:rowOff>
    </xdr:from>
    <xdr:to>
      <xdr:col>21</xdr:col>
      <xdr:colOff>9525</xdr:colOff>
      <xdr:row>15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F419C6-F2D7-4344-BC1C-04E07DDB7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552450</xdr:colOff>
      <xdr:row>0</xdr:row>
      <xdr:rowOff>171450</xdr:rowOff>
    </xdr:from>
    <xdr:to>
      <xdr:col>11</xdr:col>
      <xdr:colOff>412750</xdr:colOff>
      <xdr:row>15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616F3E3-09A9-544D-9468-CBBBD1718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B10E4-F0E9-4EA4-8E46-4DAB71E46A98}">
  <sheetPr codeName="Sheet1"/>
  <dimension ref="A1:H25"/>
  <sheetViews>
    <sheetView workbookViewId="0">
      <selection activeCell="G4" sqref="G4"/>
    </sheetView>
  </sheetViews>
  <sheetFormatPr baseColWidth="10" defaultColWidth="8.83203125" defaultRowHeight="15" x14ac:dyDescent="0.2"/>
  <cols>
    <col min="1" max="1" width="28.1640625" customWidth="1"/>
    <col min="2" max="2" width="14" customWidth="1"/>
    <col min="3" max="3" width="18.5" customWidth="1"/>
    <col min="4" max="4" width="17.1640625" customWidth="1"/>
    <col min="5" max="5" width="29.5" customWidth="1"/>
    <col min="6" max="6" width="24.5" customWidth="1"/>
  </cols>
  <sheetData>
    <row r="1" spans="1:8" x14ac:dyDescent="0.2">
      <c r="A1" t="s">
        <v>0</v>
      </c>
      <c r="B1" t="s">
        <v>1</v>
      </c>
      <c r="C1" t="s">
        <v>3</v>
      </c>
      <c r="D1" t="s">
        <v>5</v>
      </c>
      <c r="E1" t="s">
        <v>6</v>
      </c>
      <c r="G1" t="s">
        <v>9</v>
      </c>
      <c r="H1" t="s">
        <v>10</v>
      </c>
    </row>
    <row r="2" spans="1:8" x14ac:dyDescent="0.2">
      <c r="A2">
        <v>0</v>
      </c>
      <c r="B2">
        <v>7</v>
      </c>
      <c r="C2">
        <f>A2*B2</f>
        <v>0</v>
      </c>
      <c r="D2">
        <f>(A2-$B$19)^2</f>
        <v>24.970008999999997</v>
      </c>
      <c r="E2">
        <f>D2*B2</f>
        <v>174.79006299999998</v>
      </c>
      <c r="F2">
        <f>A2^2*B2</f>
        <v>0</v>
      </c>
      <c r="G2">
        <f>POISSON(A2,5,FALSE)</f>
        <v>6.737946999085467E-3</v>
      </c>
      <c r="H2">
        <f>B2/SUM($B$2:$B$17)</f>
        <v>7.0000000000000001E-3</v>
      </c>
    </row>
    <row r="3" spans="1:8" x14ac:dyDescent="0.2">
      <c r="A3">
        <v>1</v>
      </c>
      <c r="B3">
        <v>34</v>
      </c>
      <c r="C3">
        <f t="shared" ref="C3:C17" si="0">A3*B3</f>
        <v>34</v>
      </c>
      <c r="D3">
        <f t="shared" ref="D3:D17" si="1">(A3-$B$19)^2</f>
        <v>15.976008999999999</v>
      </c>
      <c r="E3">
        <f t="shared" ref="E3:E17" si="2">D3*B3</f>
        <v>543.18430599999999</v>
      </c>
      <c r="F3">
        <f t="shared" ref="F3:F17" si="3">A3^2*B3</f>
        <v>34</v>
      </c>
      <c r="G3">
        <f t="shared" ref="G3:G16" si="4">POISSON(A3,5,FALSE)</f>
        <v>3.368973499542733E-2</v>
      </c>
      <c r="H3">
        <f t="shared" ref="H3:H17" si="5">B3/SUM($B$2:$B$17)</f>
        <v>3.4000000000000002E-2</v>
      </c>
    </row>
    <row r="4" spans="1:8" x14ac:dyDescent="0.2">
      <c r="A4">
        <f>A3+1</f>
        <v>2</v>
      </c>
      <c r="B4">
        <v>84</v>
      </c>
      <c r="C4">
        <f t="shared" si="0"/>
        <v>168</v>
      </c>
      <c r="D4">
        <f t="shared" si="1"/>
        <v>8.9820089999999997</v>
      </c>
      <c r="E4">
        <f t="shared" si="2"/>
        <v>754.48875599999997</v>
      </c>
      <c r="F4">
        <f t="shared" si="3"/>
        <v>336</v>
      </c>
      <c r="G4">
        <f t="shared" si="4"/>
        <v>8.4224337488568335E-2</v>
      </c>
      <c r="H4">
        <f t="shared" si="5"/>
        <v>8.4000000000000005E-2</v>
      </c>
    </row>
    <row r="5" spans="1:8" x14ac:dyDescent="0.2">
      <c r="A5">
        <f t="shared" ref="A5:A17" si="6">A4+1</f>
        <v>3</v>
      </c>
      <c r="B5">
        <v>140</v>
      </c>
      <c r="C5">
        <f t="shared" si="0"/>
        <v>420</v>
      </c>
      <c r="D5">
        <f t="shared" si="1"/>
        <v>3.9880089999999995</v>
      </c>
      <c r="E5">
        <f t="shared" si="2"/>
        <v>558.32125999999994</v>
      </c>
      <c r="F5">
        <f t="shared" si="3"/>
        <v>1260</v>
      </c>
      <c r="G5">
        <f t="shared" si="4"/>
        <v>0.14037389581428059</v>
      </c>
      <c r="H5">
        <f t="shared" si="5"/>
        <v>0.14000000000000001</v>
      </c>
    </row>
    <row r="6" spans="1:8" x14ac:dyDescent="0.2">
      <c r="A6">
        <f t="shared" si="6"/>
        <v>4</v>
      </c>
      <c r="B6">
        <v>176</v>
      </c>
      <c r="C6">
        <f t="shared" si="0"/>
        <v>704</v>
      </c>
      <c r="D6">
        <f t="shared" si="1"/>
        <v>0.99400899999999981</v>
      </c>
      <c r="E6">
        <f t="shared" si="2"/>
        <v>174.94558399999997</v>
      </c>
      <c r="F6">
        <f t="shared" si="3"/>
        <v>2816</v>
      </c>
      <c r="G6">
        <f t="shared" si="4"/>
        <v>0.17546736976785074</v>
      </c>
      <c r="H6">
        <f t="shared" si="5"/>
        <v>0.17599999999999999</v>
      </c>
    </row>
    <row r="7" spans="1:8" x14ac:dyDescent="0.2">
      <c r="A7">
        <f t="shared" si="6"/>
        <v>5</v>
      </c>
      <c r="B7">
        <v>176</v>
      </c>
      <c r="C7">
        <f t="shared" si="0"/>
        <v>880</v>
      </c>
      <c r="D7">
        <f t="shared" si="1"/>
        <v>9.0000000000006829E-6</v>
      </c>
      <c r="E7">
        <f t="shared" si="2"/>
        <v>1.5840000000001203E-3</v>
      </c>
      <c r="F7">
        <f t="shared" si="3"/>
        <v>4400</v>
      </c>
      <c r="G7">
        <f t="shared" si="4"/>
        <v>0.17546736976785071</v>
      </c>
      <c r="H7">
        <f t="shared" si="5"/>
        <v>0.17599999999999999</v>
      </c>
    </row>
    <row r="8" spans="1:8" x14ac:dyDescent="0.2">
      <c r="A8">
        <f t="shared" si="6"/>
        <v>6</v>
      </c>
      <c r="B8">
        <v>146</v>
      </c>
      <c r="C8">
        <f t="shared" si="0"/>
        <v>876</v>
      </c>
      <c r="D8">
        <f t="shared" si="1"/>
        <v>1.0060090000000002</v>
      </c>
      <c r="E8">
        <f t="shared" si="2"/>
        <v>146.87731400000001</v>
      </c>
      <c r="F8">
        <f t="shared" si="3"/>
        <v>5256</v>
      </c>
      <c r="G8">
        <f t="shared" si="4"/>
        <v>0.14622280813987559</v>
      </c>
      <c r="H8">
        <f t="shared" si="5"/>
        <v>0.14599999999999999</v>
      </c>
    </row>
    <row r="9" spans="1:8" x14ac:dyDescent="0.2">
      <c r="A9">
        <f t="shared" si="6"/>
        <v>7</v>
      </c>
      <c r="B9">
        <v>104</v>
      </c>
      <c r="C9">
        <f t="shared" si="0"/>
        <v>728</v>
      </c>
      <c r="D9">
        <f t="shared" si="1"/>
        <v>4.0120090000000008</v>
      </c>
      <c r="E9">
        <f t="shared" si="2"/>
        <v>417.24893600000007</v>
      </c>
      <c r="F9">
        <f t="shared" si="3"/>
        <v>5096</v>
      </c>
      <c r="G9">
        <f t="shared" si="4"/>
        <v>0.104444862957054</v>
      </c>
      <c r="H9">
        <f t="shared" si="5"/>
        <v>0.104</v>
      </c>
    </row>
    <row r="10" spans="1:8" x14ac:dyDescent="0.2">
      <c r="A10">
        <f t="shared" si="6"/>
        <v>8</v>
      </c>
      <c r="B10">
        <v>65</v>
      </c>
      <c r="C10">
        <f t="shared" si="0"/>
        <v>520</v>
      </c>
      <c r="D10">
        <f t="shared" si="1"/>
        <v>9.0180090000000011</v>
      </c>
      <c r="E10">
        <f t="shared" si="2"/>
        <v>586.17058500000007</v>
      </c>
      <c r="F10">
        <f t="shared" si="3"/>
        <v>4160</v>
      </c>
      <c r="G10">
        <f t="shared" si="4"/>
        <v>6.5278039348158706E-2</v>
      </c>
      <c r="H10">
        <f t="shared" si="5"/>
        <v>6.5000000000000002E-2</v>
      </c>
    </row>
    <row r="11" spans="1:8" x14ac:dyDescent="0.2">
      <c r="A11">
        <f t="shared" si="6"/>
        <v>9</v>
      </c>
      <c r="B11">
        <v>36</v>
      </c>
      <c r="C11">
        <f t="shared" si="0"/>
        <v>324</v>
      </c>
      <c r="D11">
        <f t="shared" si="1"/>
        <v>16.024009</v>
      </c>
      <c r="E11">
        <f t="shared" si="2"/>
        <v>576.86432400000001</v>
      </c>
      <c r="F11">
        <f t="shared" si="3"/>
        <v>2916</v>
      </c>
      <c r="G11">
        <f t="shared" si="4"/>
        <v>3.6265577415643749E-2</v>
      </c>
      <c r="H11">
        <f t="shared" si="5"/>
        <v>3.5999999999999997E-2</v>
      </c>
    </row>
    <row r="12" spans="1:8" x14ac:dyDescent="0.2">
      <c r="A12">
        <f t="shared" si="6"/>
        <v>10</v>
      </c>
      <c r="B12">
        <v>18</v>
      </c>
      <c r="C12">
        <f t="shared" si="0"/>
        <v>180</v>
      </c>
      <c r="D12">
        <f t="shared" si="1"/>
        <v>25.030009</v>
      </c>
      <c r="E12">
        <f t="shared" si="2"/>
        <v>450.54016200000001</v>
      </c>
      <c r="F12">
        <f t="shared" si="3"/>
        <v>1800</v>
      </c>
      <c r="G12">
        <f t="shared" si="4"/>
        <v>1.8132788707821874E-2</v>
      </c>
      <c r="H12">
        <f t="shared" si="5"/>
        <v>1.7999999999999999E-2</v>
      </c>
    </row>
    <row r="13" spans="1:8" x14ac:dyDescent="0.2">
      <c r="A13">
        <f t="shared" si="6"/>
        <v>11</v>
      </c>
      <c r="B13">
        <v>8</v>
      </c>
      <c r="C13">
        <f t="shared" si="0"/>
        <v>88</v>
      </c>
      <c r="D13">
        <f t="shared" si="1"/>
        <v>36.036009</v>
      </c>
      <c r="E13">
        <f t="shared" si="2"/>
        <v>288.288072</v>
      </c>
      <c r="F13">
        <f t="shared" si="3"/>
        <v>968</v>
      </c>
      <c r="G13">
        <f t="shared" si="4"/>
        <v>8.2421766853735742E-3</v>
      </c>
      <c r="H13">
        <f t="shared" si="5"/>
        <v>8.0000000000000002E-3</v>
      </c>
    </row>
    <row r="14" spans="1:8" x14ac:dyDescent="0.2">
      <c r="A14">
        <f t="shared" si="6"/>
        <v>12</v>
      </c>
      <c r="B14">
        <v>4</v>
      </c>
      <c r="C14">
        <f t="shared" si="0"/>
        <v>48</v>
      </c>
      <c r="D14">
        <f t="shared" si="1"/>
        <v>49.042009</v>
      </c>
      <c r="E14">
        <f t="shared" si="2"/>
        <v>196.168036</v>
      </c>
      <c r="F14">
        <f t="shared" si="3"/>
        <v>576</v>
      </c>
      <c r="G14">
        <f t="shared" si="4"/>
        <v>3.4342402855723282E-3</v>
      </c>
      <c r="H14">
        <f t="shared" si="5"/>
        <v>4.0000000000000001E-3</v>
      </c>
    </row>
    <row r="15" spans="1:8" x14ac:dyDescent="0.2">
      <c r="A15">
        <f t="shared" si="6"/>
        <v>13</v>
      </c>
      <c r="B15">
        <v>1</v>
      </c>
      <c r="C15">
        <f t="shared" si="0"/>
        <v>13</v>
      </c>
      <c r="D15">
        <f t="shared" si="1"/>
        <v>64.048009000000008</v>
      </c>
      <c r="E15">
        <f t="shared" si="2"/>
        <v>64.048009000000008</v>
      </c>
      <c r="F15">
        <f t="shared" si="3"/>
        <v>169</v>
      </c>
      <c r="G15">
        <f t="shared" si="4"/>
        <v>1.3208616482970471E-3</v>
      </c>
      <c r="H15">
        <f t="shared" si="5"/>
        <v>1E-3</v>
      </c>
    </row>
    <row r="16" spans="1:8" x14ac:dyDescent="0.2">
      <c r="A16">
        <f t="shared" si="6"/>
        <v>14</v>
      </c>
      <c r="B16">
        <v>1</v>
      </c>
      <c r="C16">
        <f t="shared" si="0"/>
        <v>14</v>
      </c>
      <c r="D16">
        <f t="shared" si="1"/>
        <v>81.054009000000008</v>
      </c>
      <c r="E16">
        <f t="shared" si="2"/>
        <v>81.054009000000008</v>
      </c>
      <c r="F16">
        <f t="shared" si="3"/>
        <v>196</v>
      </c>
      <c r="G16">
        <f t="shared" si="4"/>
        <v>4.7173630296323246E-4</v>
      </c>
      <c r="H16">
        <f t="shared" si="5"/>
        <v>1E-3</v>
      </c>
    </row>
    <row r="17" spans="1:8" x14ac:dyDescent="0.2">
      <c r="A17" s="1">
        <f t="shared" si="6"/>
        <v>15</v>
      </c>
      <c r="B17">
        <v>0</v>
      </c>
      <c r="C17">
        <f t="shared" si="0"/>
        <v>0</v>
      </c>
      <c r="D17">
        <f t="shared" si="1"/>
        <v>100.06000900000001</v>
      </c>
      <c r="E17">
        <f t="shared" si="2"/>
        <v>0</v>
      </c>
      <c r="F17">
        <f t="shared" si="3"/>
        <v>0</v>
      </c>
      <c r="G17" s="1">
        <f>POISSON(100,5,TRUE)-POISSON(14,5,TRUE)</f>
        <v>2.2625367617679082E-4</v>
      </c>
      <c r="H17">
        <f t="shared" si="5"/>
        <v>0</v>
      </c>
    </row>
    <row r="19" spans="1:8" x14ac:dyDescent="0.2">
      <c r="A19" t="s">
        <v>2</v>
      </c>
      <c r="B19">
        <f>SUM(C2:C17)/SUM(B2:B17)</f>
        <v>4.9969999999999999</v>
      </c>
    </row>
    <row r="20" spans="1:8" x14ac:dyDescent="0.2">
      <c r="A20" t="s">
        <v>4</v>
      </c>
      <c r="B20">
        <f>SUM(E2:E17)/SUM(B2:B17)</f>
        <v>5.0129910000000013</v>
      </c>
      <c r="C20">
        <f>(SUM(F2:F17)/SUM(B2:B17))-B19^2</f>
        <v>5.0129910000000031</v>
      </c>
    </row>
    <row r="21" spans="1:8" x14ac:dyDescent="0.2">
      <c r="B21" t="s">
        <v>8</v>
      </c>
      <c r="C21" t="s">
        <v>7</v>
      </c>
    </row>
    <row r="25" spans="1:8" x14ac:dyDescent="0.2">
      <c r="A25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F9FA1-35B1-4603-9420-EAC900939FBC}">
  <sheetPr codeName="Sheet2"/>
  <dimension ref="A2:L8"/>
  <sheetViews>
    <sheetView workbookViewId="0">
      <selection activeCell="E12" sqref="E12"/>
    </sheetView>
  </sheetViews>
  <sheetFormatPr baseColWidth="10" defaultColWidth="8.83203125" defaultRowHeight="15" x14ac:dyDescent="0.2"/>
  <sheetData>
    <row r="2" spans="1:12" x14ac:dyDescent="0.2">
      <c r="A2" t="s">
        <v>15</v>
      </c>
      <c r="E2" t="s">
        <v>18</v>
      </c>
      <c r="H2" t="s">
        <v>32</v>
      </c>
    </row>
    <row r="3" spans="1:12" x14ac:dyDescent="0.2">
      <c r="A3" t="s">
        <v>16</v>
      </c>
      <c r="B3">
        <v>3.4</v>
      </c>
      <c r="E3" t="s">
        <v>19</v>
      </c>
    </row>
    <row r="4" spans="1:12" x14ac:dyDescent="0.2">
      <c r="A4" t="s">
        <v>12</v>
      </c>
      <c r="B4">
        <f>6</f>
        <v>6</v>
      </c>
      <c r="E4" t="s">
        <v>16</v>
      </c>
      <c r="F4">
        <v>0.5</v>
      </c>
      <c r="H4" t="s">
        <v>16</v>
      </c>
      <c r="I4">
        <v>1.2</v>
      </c>
      <c r="K4" t="s">
        <v>33</v>
      </c>
      <c r="L4">
        <f>POISSON(I5,I4,FALSE)</f>
        <v>0.21685983257678554</v>
      </c>
    </row>
    <row r="5" spans="1:12" x14ac:dyDescent="0.2">
      <c r="A5" t="s">
        <v>17</v>
      </c>
      <c r="B5">
        <f>POISSON(B4,B3,FALSE)</f>
        <v>7.1604409459822063E-2</v>
      </c>
      <c r="E5" t="s">
        <v>20</v>
      </c>
      <c r="F5">
        <f>POISSON(1,F4,TRUE)</f>
        <v>0.90979598956895014</v>
      </c>
      <c r="I5">
        <v>2</v>
      </c>
      <c r="K5" t="s">
        <v>34</v>
      </c>
      <c r="L5">
        <f>POISSON(2,1.2,TRUE)</f>
        <v>0.87948709878363007</v>
      </c>
    </row>
    <row r="6" spans="1:12" x14ac:dyDescent="0.2">
      <c r="E6" t="s">
        <v>21</v>
      </c>
      <c r="F6">
        <f>1-POISSON(2,F4,TRUE)</f>
        <v>1.4387677966970713E-2</v>
      </c>
      <c r="I6">
        <v>3</v>
      </c>
      <c r="K6" t="s">
        <v>22</v>
      </c>
      <c r="L6">
        <f>1-POISSON(5,I4*10,FALSE)</f>
        <v>0.9872593612641386</v>
      </c>
    </row>
    <row r="7" spans="1:12" x14ac:dyDescent="0.2">
      <c r="E7" t="s">
        <v>22</v>
      </c>
      <c r="F7">
        <f>(POISSON(0,F4,TRUE))^3</f>
        <v>0.22313016014842985</v>
      </c>
      <c r="I7">
        <v>5</v>
      </c>
      <c r="K7" t="s">
        <v>35</v>
      </c>
      <c r="L7">
        <f>1-POISSON(2,I4*48,FALSE)</f>
        <v>1</v>
      </c>
    </row>
    <row r="8" spans="1:12" x14ac:dyDescent="0.2">
      <c r="I8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A6A59-219A-3E4C-B5E7-1BCCF8E9C91B}">
  <sheetPr codeName="Sheet5"/>
  <dimension ref="A2:J19"/>
  <sheetViews>
    <sheetView topLeftCell="D4" workbookViewId="0">
      <selection activeCell="I2" sqref="I2"/>
    </sheetView>
  </sheetViews>
  <sheetFormatPr baseColWidth="10" defaultColWidth="8.83203125" defaultRowHeight="15" x14ac:dyDescent="0.2"/>
  <sheetData>
    <row r="2" spans="1:3" x14ac:dyDescent="0.2">
      <c r="A2" t="s">
        <v>12</v>
      </c>
      <c r="B2" t="s">
        <v>14</v>
      </c>
      <c r="C2" t="s">
        <v>13</v>
      </c>
    </row>
    <row r="3" spans="1:3" x14ac:dyDescent="0.2">
      <c r="A3">
        <v>0</v>
      </c>
      <c r="B3">
        <f>POISSON(A3,4,FALSE)</f>
        <v>1.8315638888734179E-2</v>
      </c>
      <c r="C3">
        <f>POISSON(A3,4,TRUE)</f>
        <v>1.8315638888734179E-2</v>
      </c>
    </row>
    <row r="4" spans="1:3" x14ac:dyDescent="0.2">
      <c r="A4">
        <f>A3+1</f>
        <v>1</v>
      </c>
      <c r="B4">
        <f t="shared" ref="B4:B17" si="0">POISSON(A4,4,FALSE)</f>
        <v>7.3262555554936715E-2</v>
      </c>
      <c r="C4">
        <f t="shared" ref="C4:C17" si="1">POISSON(A4,4,TRUE)</f>
        <v>9.1578194443670893E-2</v>
      </c>
    </row>
    <row r="5" spans="1:3" x14ac:dyDescent="0.2">
      <c r="A5">
        <f t="shared" ref="A5:A17" si="2">A4+1</f>
        <v>2</v>
      </c>
      <c r="B5">
        <f t="shared" si="0"/>
        <v>0.14652511110987346</v>
      </c>
      <c r="C5">
        <f t="shared" si="1"/>
        <v>0.23810330555354431</v>
      </c>
    </row>
    <row r="6" spans="1:3" x14ac:dyDescent="0.2">
      <c r="A6">
        <f t="shared" si="2"/>
        <v>3</v>
      </c>
      <c r="B6">
        <f t="shared" si="0"/>
        <v>0.19536681481316462</v>
      </c>
      <c r="C6">
        <f t="shared" si="1"/>
        <v>0.43347012036670896</v>
      </c>
    </row>
    <row r="7" spans="1:3" x14ac:dyDescent="0.2">
      <c r="A7">
        <f t="shared" si="2"/>
        <v>4</v>
      </c>
      <c r="B7">
        <f t="shared" si="0"/>
        <v>0.19536681481316462</v>
      </c>
      <c r="C7">
        <f t="shared" si="1"/>
        <v>0.62883693517987349</v>
      </c>
    </row>
    <row r="8" spans="1:3" x14ac:dyDescent="0.2">
      <c r="A8">
        <f t="shared" si="2"/>
        <v>5</v>
      </c>
      <c r="B8">
        <f t="shared" si="0"/>
        <v>0.1562934518505317</v>
      </c>
      <c r="C8">
        <f t="shared" si="1"/>
        <v>0.78513038703040516</v>
      </c>
    </row>
    <row r="9" spans="1:3" x14ac:dyDescent="0.2">
      <c r="A9">
        <f t="shared" si="2"/>
        <v>6</v>
      </c>
      <c r="B9">
        <f t="shared" si="0"/>
        <v>0.10419563456702115</v>
      </c>
      <c r="C9">
        <f t="shared" si="1"/>
        <v>0.88932602159742624</v>
      </c>
    </row>
    <row r="10" spans="1:3" x14ac:dyDescent="0.2">
      <c r="A10">
        <f t="shared" si="2"/>
        <v>7</v>
      </c>
      <c r="B10">
        <f t="shared" si="0"/>
        <v>5.9540362609726373E-2</v>
      </c>
      <c r="C10">
        <f t="shared" si="1"/>
        <v>0.94886638420715264</v>
      </c>
    </row>
    <row r="11" spans="1:3" x14ac:dyDescent="0.2">
      <c r="A11">
        <f t="shared" si="2"/>
        <v>8</v>
      </c>
      <c r="B11">
        <f t="shared" si="0"/>
        <v>2.9770181304863183E-2</v>
      </c>
      <c r="C11">
        <f t="shared" si="1"/>
        <v>0.97863656551201583</v>
      </c>
    </row>
    <row r="12" spans="1:3" x14ac:dyDescent="0.2">
      <c r="A12">
        <f t="shared" si="2"/>
        <v>9</v>
      </c>
      <c r="B12">
        <f t="shared" si="0"/>
        <v>1.3231191691050297E-2</v>
      </c>
      <c r="C12">
        <f t="shared" si="1"/>
        <v>0.99186775720306608</v>
      </c>
    </row>
    <row r="13" spans="1:3" x14ac:dyDescent="0.2">
      <c r="A13">
        <f t="shared" si="2"/>
        <v>10</v>
      </c>
      <c r="B13">
        <f t="shared" si="0"/>
        <v>5.2924766764201169E-3</v>
      </c>
      <c r="C13">
        <f t="shared" si="1"/>
        <v>0.99716023387948627</v>
      </c>
    </row>
    <row r="14" spans="1:3" x14ac:dyDescent="0.2">
      <c r="A14">
        <f t="shared" si="2"/>
        <v>11</v>
      </c>
      <c r="B14">
        <f t="shared" si="0"/>
        <v>1.9245369732436813E-3</v>
      </c>
      <c r="C14">
        <f t="shared" si="1"/>
        <v>0.99908477085272995</v>
      </c>
    </row>
    <row r="15" spans="1:3" x14ac:dyDescent="0.2">
      <c r="A15">
        <f>A14+1</f>
        <v>12</v>
      </c>
      <c r="B15">
        <f t="shared" si="0"/>
        <v>6.4151232441456022E-4</v>
      </c>
      <c r="C15">
        <f t="shared" si="1"/>
        <v>0.99972628317714451</v>
      </c>
    </row>
    <row r="16" spans="1:3" x14ac:dyDescent="0.2">
      <c r="A16">
        <f t="shared" si="2"/>
        <v>13</v>
      </c>
      <c r="B16">
        <f t="shared" si="0"/>
        <v>1.9738840751217212E-4</v>
      </c>
      <c r="C16">
        <f t="shared" si="1"/>
        <v>0.99992367158465667</v>
      </c>
    </row>
    <row r="17" spans="1:10" x14ac:dyDescent="0.2">
      <c r="A17">
        <f t="shared" si="2"/>
        <v>14</v>
      </c>
      <c r="B17">
        <f t="shared" si="0"/>
        <v>5.6396687860620615E-5</v>
      </c>
      <c r="C17">
        <f t="shared" si="1"/>
        <v>0.99998006827251729</v>
      </c>
    </row>
    <row r="18" spans="1:10" ht="32" x14ac:dyDescent="0.2">
      <c r="I18" s="2" t="s">
        <v>23</v>
      </c>
      <c r="J18">
        <f>POISSON(4.1,3.5,FALSE)</f>
        <v>0.18881228540881961</v>
      </c>
    </row>
    <row r="19" spans="1:10" x14ac:dyDescent="0.2">
      <c r="J19">
        <f>POISSON(4.1, 3.5, FALSE)</f>
        <v>0.18881228540881961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BCC1-18B1-40B1-BBB8-10107698E1A2}">
  <sheetPr codeName="Sheet3"/>
  <dimension ref="A2:J19"/>
  <sheetViews>
    <sheetView workbookViewId="0">
      <selection activeCell="M16" sqref="M16"/>
    </sheetView>
  </sheetViews>
  <sheetFormatPr baseColWidth="10" defaultColWidth="8.83203125" defaultRowHeight="15" x14ac:dyDescent="0.2"/>
  <sheetData>
    <row r="2" spans="1:3" x14ac:dyDescent="0.2">
      <c r="A2" t="s">
        <v>12</v>
      </c>
      <c r="B2" t="s">
        <v>14</v>
      </c>
      <c r="C2" t="s">
        <v>13</v>
      </c>
    </row>
    <row r="3" spans="1:3" x14ac:dyDescent="0.2">
      <c r="A3">
        <v>0</v>
      </c>
      <c r="B3">
        <f>POISSON(A3,4,FALSE)</f>
        <v>1.8315638888734179E-2</v>
      </c>
      <c r="C3">
        <f>POISSON(A3,4,TRUE)</f>
        <v>1.8315638888734179E-2</v>
      </c>
    </row>
    <row r="4" spans="1:3" x14ac:dyDescent="0.2">
      <c r="A4">
        <f>A3+1</f>
        <v>1</v>
      </c>
      <c r="B4">
        <f t="shared" ref="B4:B17" si="0">POISSON(A4,4,FALSE)</f>
        <v>7.3262555554936715E-2</v>
      </c>
      <c r="C4">
        <f t="shared" ref="C4:C17" si="1">POISSON(A4,4,TRUE)</f>
        <v>9.1578194443670893E-2</v>
      </c>
    </row>
    <row r="5" spans="1:3" x14ac:dyDescent="0.2">
      <c r="A5">
        <f t="shared" ref="A5:A17" si="2">A4+1</f>
        <v>2</v>
      </c>
      <c r="B5">
        <f t="shared" si="0"/>
        <v>0.14652511110987346</v>
      </c>
      <c r="C5">
        <f t="shared" si="1"/>
        <v>0.23810330555354431</v>
      </c>
    </row>
    <row r="6" spans="1:3" x14ac:dyDescent="0.2">
      <c r="A6">
        <f t="shared" si="2"/>
        <v>3</v>
      </c>
      <c r="B6">
        <f t="shared" si="0"/>
        <v>0.19536681481316462</v>
      </c>
      <c r="C6">
        <f t="shared" si="1"/>
        <v>0.43347012036670896</v>
      </c>
    </row>
    <row r="7" spans="1:3" x14ac:dyDescent="0.2">
      <c r="A7">
        <f t="shared" si="2"/>
        <v>4</v>
      </c>
      <c r="B7">
        <f t="shared" si="0"/>
        <v>0.19536681481316462</v>
      </c>
      <c r="C7">
        <f t="shared" si="1"/>
        <v>0.62883693517987349</v>
      </c>
    </row>
    <row r="8" spans="1:3" x14ac:dyDescent="0.2">
      <c r="A8">
        <f t="shared" si="2"/>
        <v>5</v>
      </c>
      <c r="B8">
        <f t="shared" si="0"/>
        <v>0.1562934518505317</v>
      </c>
      <c r="C8">
        <f t="shared" si="1"/>
        <v>0.78513038703040516</v>
      </c>
    </row>
    <row r="9" spans="1:3" x14ac:dyDescent="0.2">
      <c r="A9">
        <f t="shared" si="2"/>
        <v>6</v>
      </c>
      <c r="B9">
        <f t="shared" si="0"/>
        <v>0.10419563456702115</v>
      </c>
      <c r="C9">
        <f t="shared" si="1"/>
        <v>0.88932602159742624</v>
      </c>
    </row>
    <row r="10" spans="1:3" x14ac:dyDescent="0.2">
      <c r="A10">
        <f t="shared" si="2"/>
        <v>7</v>
      </c>
      <c r="B10">
        <f t="shared" si="0"/>
        <v>5.9540362609726373E-2</v>
      </c>
      <c r="C10">
        <f t="shared" si="1"/>
        <v>0.94886638420715264</v>
      </c>
    </row>
    <row r="11" spans="1:3" x14ac:dyDescent="0.2">
      <c r="A11">
        <f t="shared" si="2"/>
        <v>8</v>
      </c>
      <c r="B11">
        <f t="shared" si="0"/>
        <v>2.9770181304863183E-2</v>
      </c>
      <c r="C11">
        <f t="shared" si="1"/>
        <v>0.97863656551201583</v>
      </c>
    </row>
    <row r="12" spans="1:3" x14ac:dyDescent="0.2">
      <c r="A12">
        <f t="shared" si="2"/>
        <v>9</v>
      </c>
      <c r="B12">
        <f t="shared" si="0"/>
        <v>1.3231191691050297E-2</v>
      </c>
      <c r="C12">
        <f t="shared" si="1"/>
        <v>0.99186775720306608</v>
      </c>
    </row>
    <row r="13" spans="1:3" x14ac:dyDescent="0.2">
      <c r="A13">
        <f t="shared" si="2"/>
        <v>10</v>
      </c>
      <c r="B13">
        <f t="shared" si="0"/>
        <v>5.2924766764201169E-3</v>
      </c>
      <c r="C13">
        <f t="shared" si="1"/>
        <v>0.99716023387948627</v>
      </c>
    </row>
    <row r="14" spans="1:3" x14ac:dyDescent="0.2">
      <c r="A14">
        <f t="shared" si="2"/>
        <v>11</v>
      </c>
      <c r="B14">
        <f t="shared" si="0"/>
        <v>1.9245369732436813E-3</v>
      </c>
      <c r="C14">
        <f t="shared" si="1"/>
        <v>0.99908477085272995</v>
      </c>
    </row>
    <row r="15" spans="1:3" x14ac:dyDescent="0.2">
      <c r="A15">
        <f>A14+1</f>
        <v>12</v>
      </c>
      <c r="B15">
        <f t="shared" si="0"/>
        <v>6.4151232441456022E-4</v>
      </c>
      <c r="C15">
        <f t="shared" si="1"/>
        <v>0.99972628317714451</v>
      </c>
    </row>
    <row r="16" spans="1:3" x14ac:dyDescent="0.2">
      <c r="A16">
        <f t="shared" si="2"/>
        <v>13</v>
      </c>
      <c r="B16">
        <f t="shared" si="0"/>
        <v>1.9738840751217212E-4</v>
      </c>
      <c r="C16">
        <f t="shared" si="1"/>
        <v>0.99992367158465667</v>
      </c>
    </row>
    <row r="17" spans="1:10" x14ac:dyDescent="0.2">
      <c r="A17">
        <f t="shared" si="2"/>
        <v>14</v>
      </c>
      <c r="B17">
        <f t="shared" si="0"/>
        <v>5.6396687860620615E-5</v>
      </c>
      <c r="C17">
        <f t="shared" si="1"/>
        <v>0.99998006827251729</v>
      </c>
    </row>
    <row r="18" spans="1:10" ht="32" x14ac:dyDescent="0.2">
      <c r="I18" s="2" t="s">
        <v>23</v>
      </c>
      <c r="J18">
        <f>POISSON(3.6,4,FALSE)</f>
        <v>0.19536681481316462</v>
      </c>
    </row>
    <row r="19" spans="1:10" x14ac:dyDescent="0.2">
      <c r="J19">
        <f>POISSON(3, 4, FALSE)</f>
        <v>0.19536681481316462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4AECA-FD88-42FF-8D7F-2CF431236A3E}">
  <sheetPr codeName="Sheet4"/>
  <dimension ref="A1:H13"/>
  <sheetViews>
    <sheetView tabSelected="1" workbookViewId="0">
      <selection activeCell="D10" sqref="D10"/>
    </sheetView>
  </sheetViews>
  <sheetFormatPr baseColWidth="10" defaultColWidth="8.83203125" defaultRowHeight="15" x14ac:dyDescent="0.2"/>
  <cols>
    <col min="1" max="1" width="48.33203125" customWidth="1"/>
  </cols>
  <sheetData>
    <row r="1" spans="1:8" ht="32" x14ac:dyDescent="0.2">
      <c r="A1" s="2" t="s">
        <v>24</v>
      </c>
    </row>
    <row r="2" spans="1:8" x14ac:dyDescent="0.2">
      <c r="G2" t="s">
        <v>36</v>
      </c>
      <c r="H2">
        <f>100*(1+(0.1/252))^(252)</f>
        <v>110.51489960979953</v>
      </c>
    </row>
    <row r="3" spans="1:8" x14ac:dyDescent="0.2">
      <c r="H3">
        <f>100*EXP(0.1)</f>
        <v>110.51709180756477</v>
      </c>
    </row>
    <row r="5" spans="1:8" x14ac:dyDescent="0.2">
      <c r="A5" t="s">
        <v>25</v>
      </c>
    </row>
    <row r="6" spans="1:8" x14ac:dyDescent="0.2">
      <c r="A6" t="s">
        <v>26</v>
      </c>
      <c r="B6">
        <v>1</v>
      </c>
    </row>
    <row r="7" spans="1:8" x14ac:dyDescent="0.2">
      <c r="A7" t="s">
        <v>27</v>
      </c>
      <c r="B7">
        <v>0.25</v>
      </c>
    </row>
    <row r="8" spans="1:8" x14ac:dyDescent="0.2">
      <c r="A8" t="s">
        <v>28</v>
      </c>
      <c r="B8">
        <f>conversion1(B6,B7)</f>
        <v>0.22314355131420976</v>
      </c>
    </row>
    <row r="9" spans="1:8" x14ac:dyDescent="0.2">
      <c r="D9">
        <f>1/1.25</f>
        <v>0.8</v>
      </c>
    </row>
    <row r="10" spans="1:8" x14ac:dyDescent="0.2">
      <c r="A10" t="s">
        <v>29</v>
      </c>
    </row>
    <row r="11" spans="1:8" x14ac:dyDescent="0.2">
      <c r="A11" t="s">
        <v>30</v>
      </c>
      <c r="B11">
        <v>0.22314400000000001</v>
      </c>
    </row>
    <row r="12" spans="1:8" x14ac:dyDescent="0.2">
      <c r="A12" t="s">
        <v>26</v>
      </c>
      <c r="B12">
        <v>1</v>
      </c>
    </row>
    <row r="13" spans="1:8" x14ac:dyDescent="0.2">
      <c r="A13" t="s">
        <v>31</v>
      </c>
      <c r="B13" s="3">
        <f>conversion2(B12,B11)</f>
        <v>0.25000056085736366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exampledata</vt:lpstr>
      <vt:lpstr>Solutions exercises</vt:lpstr>
      <vt:lpstr>Poisson2</vt:lpstr>
      <vt:lpstr>Poisson</vt:lpstr>
      <vt:lpstr>InterestRates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mrcde</dc:creator>
  <cp:lastModifiedBy>DELOGU Marco</cp:lastModifiedBy>
  <dcterms:created xsi:type="dcterms:W3CDTF">2019-04-26T12:49:05Z</dcterms:created>
  <dcterms:modified xsi:type="dcterms:W3CDTF">2020-03-29T14:44:55Z</dcterms:modified>
</cp:coreProperties>
</file>