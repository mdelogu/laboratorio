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cde\Dropbox\Laboratorio Economia E finanza\Laboratorio20192020\Lecture1\"/>
    </mc:Choice>
  </mc:AlternateContent>
  <xr:revisionPtr revIDLastSave="0" documentId="13_ncr:1_{2DB499EA-0EBE-4272-B164-6AF132620897}" xr6:coauthVersionLast="41" xr6:coauthVersionMax="41" xr10:uidLastSave="{00000000-0000-0000-0000-000000000000}"/>
  <bookViews>
    <workbookView xWindow="-120" yWindow="-120" windowWidth="20730" windowHeight="11160" activeTab="3" xr2:uid="{90CECA1F-4F3C-4D67-96B9-CC9B799E46F7}"/>
  </bookViews>
  <sheets>
    <sheet name="Names" sheetId="1" r:id="rId1"/>
    <sheet name="LogicalOperators" sheetId="2" r:id="rId2"/>
    <sheet name="String" sheetId="3" r:id="rId3"/>
    <sheet name="Summary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F3" i="3" l="1"/>
  <c r="F4" i="3"/>
  <c r="F2" i="3"/>
  <c r="E3" i="3" l="1"/>
  <c r="E4" i="3"/>
  <c r="E2" i="3"/>
  <c r="D3" i="3"/>
  <c r="D4" i="3"/>
  <c r="D2" i="3"/>
  <c r="C3" i="3"/>
  <c r="C4" i="3"/>
  <c r="C2" i="3"/>
  <c r="B4" i="3"/>
  <c r="B3" i="3"/>
  <c r="B2" i="3"/>
  <c r="F2" i="2"/>
  <c r="F3" i="2"/>
  <c r="G3" i="1"/>
  <c r="G4" i="1"/>
  <c r="I4" i="1" s="1"/>
  <c r="J4" i="1" s="1"/>
  <c r="G5" i="1"/>
  <c r="G2" i="1"/>
  <c r="I2" i="1" s="1"/>
  <c r="J2" i="1" s="1"/>
  <c r="I3" i="1"/>
  <c r="J3" i="1" s="1"/>
  <c r="I5" i="1"/>
  <c r="J5" i="1" s="1"/>
  <c r="H3" i="1"/>
  <c r="H4" i="1"/>
  <c r="H5" i="1"/>
  <c r="H2" i="1"/>
  <c r="C7" i="1"/>
  <c r="C6" i="1"/>
  <c r="J6" i="1" l="1"/>
</calcChain>
</file>

<file path=xl/sharedStrings.xml><?xml version="1.0" encoding="utf-8"?>
<sst xmlns="http://schemas.openxmlformats.org/spreadsheetml/2006/main" count="42" uniqueCount="40">
  <si>
    <t>Nome</t>
  </si>
  <si>
    <t>Cognome</t>
  </si>
  <si>
    <t>Eta</t>
  </si>
  <si>
    <t>Citta</t>
  </si>
  <si>
    <t>Roberto</t>
  </si>
  <si>
    <t>Baggio</t>
  </si>
  <si>
    <t>Francesco</t>
  </si>
  <si>
    <t>Totti</t>
  </si>
  <si>
    <t>Alessandro</t>
  </si>
  <si>
    <t>Del Piero</t>
  </si>
  <si>
    <t>Gianfranco</t>
  </si>
  <si>
    <t>Zola</t>
  </si>
  <si>
    <t>Ittiri</t>
  </si>
  <si>
    <t>Bonorva</t>
  </si>
  <si>
    <t>Sassari</t>
  </si>
  <si>
    <t>Average Age</t>
  </si>
  <si>
    <t>Number</t>
  </si>
  <si>
    <t>Gol</t>
  </si>
  <si>
    <t>Partite</t>
  </si>
  <si>
    <t>Gol only Sassari</t>
  </si>
  <si>
    <t>Logical operators</t>
  </si>
  <si>
    <t>and</t>
  </si>
  <si>
    <t>&amp;</t>
  </si>
  <si>
    <t>Values</t>
  </si>
  <si>
    <t>Value1</t>
  </si>
  <si>
    <t>OR</t>
  </si>
  <si>
    <t>cagliari</t>
  </si>
  <si>
    <t>genova</t>
  </si>
  <si>
    <t>Name city</t>
  </si>
  <si>
    <t>LENGTH</t>
  </si>
  <si>
    <t>left</t>
  </si>
  <si>
    <t>right</t>
  </si>
  <si>
    <t>combined</t>
  </si>
  <si>
    <t>Ratio Partite Gol</t>
  </si>
  <si>
    <t>Ratio Partite Gol Sassari</t>
  </si>
  <si>
    <t>Use of Iferror</t>
  </si>
  <si>
    <t>midlle</t>
  </si>
  <si>
    <t>Names</t>
  </si>
  <si>
    <t>LogicalOperators</t>
  </si>
  <si>
    <t>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</si>
</sst>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E85E6-1838-404F-8AC3-08A7B3D19927}">
  <sheetPr codeName="Sheet1"/>
  <dimension ref="A1:J8"/>
  <sheetViews>
    <sheetView workbookViewId="0">
      <selection activeCell="I2" sqref="I2"/>
    </sheetView>
  </sheetViews>
  <sheetFormatPr defaultRowHeight="15" x14ac:dyDescent="0.25"/>
  <cols>
    <col min="7" max="7" width="27.28515625" customWidth="1"/>
    <col min="8" max="9" width="26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17</v>
      </c>
      <c r="F1" t="s">
        <v>18</v>
      </c>
      <c r="G1" t="s">
        <v>19</v>
      </c>
      <c r="H1" t="s">
        <v>33</v>
      </c>
      <c r="I1" t="s">
        <v>34</v>
      </c>
      <c r="J1" t="s">
        <v>35</v>
      </c>
    </row>
    <row r="2" spans="1:10" x14ac:dyDescent="0.25">
      <c r="A2" t="s">
        <v>4</v>
      </c>
      <c r="B2" t="s">
        <v>5</v>
      </c>
      <c r="C2">
        <v>35</v>
      </c>
      <c r="D2" t="s">
        <v>12</v>
      </c>
      <c r="E2">
        <v>20</v>
      </c>
      <c r="F2">
        <v>60</v>
      </c>
      <c r="G2" t="str">
        <f>IF(D2="Sassari",E2,"noss")</f>
        <v>noss</v>
      </c>
      <c r="H2">
        <f>F2/E2</f>
        <v>3</v>
      </c>
      <c r="I2" t="e">
        <f>F2/G2</f>
        <v>#VALUE!</v>
      </c>
      <c r="J2" t="str">
        <f>IFERROR(I2,"noss")</f>
        <v>noss</v>
      </c>
    </row>
    <row r="3" spans="1:10" x14ac:dyDescent="0.25">
      <c r="A3" t="s">
        <v>6</v>
      </c>
      <c r="B3" t="s">
        <v>7</v>
      </c>
      <c r="C3">
        <v>20</v>
      </c>
      <c r="D3" t="s">
        <v>13</v>
      </c>
      <c r="E3">
        <v>15</v>
      </c>
      <c r="F3">
        <v>30</v>
      </c>
      <c r="G3" t="str">
        <f t="shared" ref="G3:G5" si="0">IF(D3="Sassari",E3,"noss")</f>
        <v>noss</v>
      </c>
      <c r="H3">
        <f t="shared" ref="H3:H5" si="1">F3/E3</f>
        <v>2</v>
      </c>
      <c r="I3" t="e">
        <f t="shared" ref="I3:I5" si="2">F3/G3</f>
        <v>#VALUE!</v>
      </c>
      <c r="J3" t="str">
        <f t="shared" ref="J3:J5" si="3">IFERROR(I3,"noss")</f>
        <v>noss</v>
      </c>
    </row>
    <row r="4" spans="1:10" x14ac:dyDescent="0.25">
      <c r="A4" t="s">
        <v>8</v>
      </c>
      <c r="B4" t="s">
        <v>9</v>
      </c>
      <c r="C4">
        <v>28</v>
      </c>
      <c r="D4" t="s">
        <v>14</v>
      </c>
      <c r="E4">
        <v>30</v>
      </c>
      <c r="F4">
        <v>40</v>
      </c>
      <c r="G4">
        <f t="shared" si="0"/>
        <v>30</v>
      </c>
      <c r="H4">
        <f t="shared" si="1"/>
        <v>1.3333333333333333</v>
      </c>
      <c r="I4">
        <f t="shared" si="2"/>
        <v>1.3333333333333333</v>
      </c>
      <c r="J4">
        <f t="shared" si="3"/>
        <v>1.3333333333333333</v>
      </c>
    </row>
    <row r="5" spans="1:10" x14ac:dyDescent="0.25">
      <c r="A5" t="s">
        <v>10</v>
      </c>
      <c r="B5" t="s">
        <v>11</v>
      </c>
      <c r="C5">
        <v>40</v>
      </c>
      <c r="D5" t="s">
        <v>14</v>
      </c>
      <c r="E5">
        <v>40</v>
      </c>
      <c r="F5">
        <v>60</v>
      </c>
      <c r="G5">
        <f t="shared" si="0"/>
        <v>40</v>
      </c>
      <c r="H5">
        <f t="shared" si="1"/>
        <v>1.5</v>
      </c>
      <c r="I5">
        <f t="shared" si="2"/>
        <v>1.5</v>
      </c>
      <c r="J5">
        <f t="shared" si="3"/>
        <v>1.5</v>
      </c>
    </row>
    <row r="6" spans="1:10" x14ac:dyDescent="0.25">
      <c r="B6" t="s">
        <v>15</v>
      </c>
      <c r="C6">
        <f>AVERAGE(C2:C5)</f>
        <v>30.75</v>
      </c>
      <c r="J6">
        <f>AVERAGE(J2:J5)</f>
        <v>1.4166666666666665</v>
      </c>
    </row>
    <row r="7" spans="1:10" x14ac:dyDescent="0.25">
      <c r="B7" t="s">
        <v>16</v>
      </c>
      <c r="C7">
        <f>COUNT(C2:C5)</f>
        <v>4</v>
      </c>
    </row>
    <row r="8" spans="1:10" x14ac:dyDescent="0.25">
      <c r="C8">
        <f>COUNT(C2:C5)</f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33149-4BA9-48C7-AFBB-670B5CFA786C}">
  <sheetPr codeName="Sheet2"/>
  <dimension ref="A1:F3"/>
  <sheetViews>
    <sheetView workbookViewId="0">
      <selection activeCell="A2" sqref="A2"/>
    </sheetView>
  </sheetViews>
  <sheetFormatPr defaultRowHeight="15" x14ac:dyDescent="0.25"/>
  <sheetData>
    <row r="1" spans="1:6" x14ac:dyDescent="0.25">
      <c r="A1" t="s">
        <v>20</v>
      </c>
      <c r="D1" t="s">
        <v>23</v>
      </c>
      <c r="E1" t="s">
        <v>24</v>
      </c>
    </row>
    <row r="2" spans="1:6" x14ac:dyDescent="0.25">
      <c r="A2" t="s">
        <v>21</v>
      </c>
      <c r="B2" t="s">
        <v>22</v>
      </c>
      <c r="D2">
        <v>2</v>
      </c>
      <c r="E2">
        <v>2</v>
      </c>
      <c r="F2">
        <f>IF(AND((D2&gt;1),(E2&gt;1)),D2*E2,0)</f>
        <v>4</v>
      </c>
    </row>
    <row r="3" spans="1:6" x14ac:dyDescent="0.25">
      <c r="A3" t="s">
        <v>25</v>
      </c>
      <c r="D3">
        <v>0.5</v>
      </c>
      <c r="E3">
        <v>1</v>
      </c>
      <c r="F3">
        <f>IF(OR((D3&gt;1),(E3&gt;1)),D2*E2,0)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4D9B-570B-46FB-B542-A7FA70ADD76C}">
  <sheetPr codeName="Sheet3"/>
  <dimension ref="A1:F4"/>
  <sheetViews>
    <sheetView workbookViewId="0">
      <selection activeCell="F3" sqref="F3"/>
    </sheetView>
  </sheetViews>
  <sheetFormatPr defaultRowHeight="15" x14ac:dyDescent="0.25"/>
  <sheetData>
    <row r="1" spans="1:6" x14ac:dyDescent="0.25">
      <c r="A1" t="s">
        <v>28</v>
      </c>
      <c r="B1" t="s">
        <v>29</v>
      </c>
      <c r="C1" t="s">
        <v>30</v>
      </c>
      <c r="D1" t="s">
        <v>31</v>
      </c>
      <c r="E1" t="s">
        <v>32</v>
      </c>
      <c r="F1" t="s">
        <v>36</v>
      </c>
    </row>
    <row r="2" spans="1:6" x14ac:dyDescent="0.25">
      <c r="A2" t="s">
        <v>14</v>
      </c>
      <c r="B2">
        <f>LEN(A2)</f>
        <v>7</v>
      </c>
      <c r="C2" t="str">
        <f>LEFT(A2,2)</f>
        <v>Sa</v>
      </c>
      <c r="D2" t="str">
        <f>RIGHT(A2,2)</f>
        <v>ri</v>
      </c>
      <c r="E2" t="str">
        <f>LEFT(A2,LEN(A2)-1)</f>
        <v>Sassar</v>
      </c>
      <c r="F2" t="str">
        <f>MID(A2,2,LEN(A2)-2)</f>
        <v>assar</v>
      </c>
    </row>
    <row r="3" spans="1:6" x14ac:dyDescent="0.25">
      <c r="A3" t="s">
        <v>26</v>
      </c>
      <c r="B3">
        <f>LEN(A3)</f>
        <v>8</v>
      </c>
      <c r="C3" t="str">
        <f t="shared" ref="C3:C4" si="0">LEFT(A3,2)</f>
        <v>ca</v>
      </c>
      <c r="D3" t="str">
        <f t="shared" ref="D3:D4" si="1">RIGHT(A3,2)</f>
        <v>ri</v>
      </c>
      <c r="E3" t="str">
        <f t="shared" ref="E3:E4" si="2">LEFT(A3,LEN(A3)-1)</f>
        <v>cagliar</v>
      </c>
      <c r="F3" t="str">
        <f t="shared" ref="F3:F4" si="3">MID(A3,2,LEN(A3)-2)</f>
        <v>agliar</v>
      </c>
    </row>
    <row r="4" spans="1:6" x14ac:dyDescent="0.25">
      <c r="A4" t="s">
        <v>27</v>
      </c>
      <c r="B4">
        <f>LEN(A4)</f>
        <v>6</v>
      </c>
      <c r="C4" t="str">
        <f t="shared" si="0"/>
        <v>ge</v>
      </c>
      <c r="D4" t="str">
        <f t="shared" si="1"/>
        <v>va</v>
      </c>
      <c r="E4" t="str">
        <f t="shared" si="2"/>
        <v>genov</v>
      </c>
      <c r="F4" t="str">
        <f t="shared" si="3"/>
        <v>enov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4B8DC-EC2D-4F38-9C56-E2C23B59833D}">
  <dimension ref="A1:D3"/>
  <sheetViews>
    <sheetView tabSelected="1" workbookViewId="0">
      <selection activeCell="H11" sqref="H11"/>
    </sheetView>
  </sheetViews>
  <sheetFormatPr defaultRowHeight="15" x14ac:dyDescent="0.25"/>
  <sheetData>
    <row r="1" spans="1:4" x14ac:dyDescent="0.25">
      <c r="A1" t="s">
        <v>37</v>
      </c>
      <c r="D1">
        <v>3</v>
      </c>
    </row>
    <row r="2" spans="1:4" x14ac:dyDescent="0.25">
      <c r="A2" t="s">
        <v>38</v>
      </c>
    </row>
    <row r="3" spans="1:4" x14ac:dyDescent="0.25">
      <c r="A3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Names</vt:lpstr>
      <vt:lpstr>LogicalOperators</vt:lpstr>
      <vt:lpstr>String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mrcde</dc:creator>
  <cp:lastModifiedBy>mrcde</cp:lastModifiedBy>
  <dcterms:created xsi:type="dcterms:W3CDTF">2019-03-19T16:37:58Z</dcterms:created>
  <dcterms:modified xsi:type="dcterms:W3CDTF">2020-03-02T19:01:50Z</dcterms:modified>
</cp:coreProperties>
</file>