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codelogu/Dropbox/Laboratorio Economia E finanza/Laboratorio20192020/PredictionModel/"/>
    </mc:Choice>
  </mc:AlternateContent>
  <xr:revisionPtr revIDLastSave="0" documentId="13_ncr:1_{7B1C16AF-4FA8-8548-9445-3D979435C7AC}" xr6:coauthVersionLast="45" xr6:coauthVersionMax="45" xr10:uidLastSave="{00000000-0000-0000-0000-000000000000}"/>
  <bookViews>
    <workbookView xWindow="0" yWindow="460" windowWidth="28800" windowHeight="13900" activeTab="3" xr2:uid="{AB10CB12-E254-4A24-B017-BFB74D3C455E}"/>
  </bookViews>
  <sheets>
    <sheet name="Raw Data" sheetId="1" r:id="rId1"/>
    <sheet name="Sheet1" sheetId="7" r:id="rId2"/>
    <sheet name="Data Cleaned" sheetId="3" r:id="rId3"/>
    <sheet name="Forecast" sheetId="5" r:id="rId4"/>
    <sheet name="ForecastLoop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5" l="1"/>
  <c r="G23" i="5" l="1"/>
  <c r="F23" i="5"/>
  <c r="G20" i="5" l="1"/>
  <c r="J20" i="5"/>
  <c r="I20" i="5"/>
  <c r="H20" i="5"/>
  <c r="B3" i="5" l="1"/>
  <c r="J25" i="6" l="1"/>
  <c r="J19" i="6"/>
  <c r="G4" i="5" l="1"/>
  <c r="I2" i="5"/>
  <c r="J2" i="5" s="1"/>
  <c r="K2" i="5" s="1"/>
  <c r="L2" i="5" s="1"/>
  <c r="M2" i="5" s="1"/>
  <c r="N2" i="5" s="1"/>
  <c r="O2" i="5" s="1"/>
  <c r="P2" i="5" s="1"/>
  <c r="Q2" i="5" s="1"/>
  <c r="R2" i="5" s="1"/>
  <c r="C28" i="3"/>
  <c r="C27" i="3"/>
  <c r="H26" i="3"/>
  <c r="F26" i="3"/>
  <c r="C26" i="3" s="1"/>
  <c r="H25" i="3"/>
  <c r="F25" i="3"/>
  <c r="C25" i="3"/>
  <c r="B3" i="6" s="1"/>
  <c r="Y22" i="3"/>
  <c r="X22" i="3"/>
  <c r="W22" i="3"/>
  <c r="V22" i="3"/>
  <c r="Z22" i="3" s="1"/>
  <c r="Y21" i="3"/>
  <c r="X21" i="3"/>
  <c r="W21" i="3"/>
  <c r="V21" i="3"/>
  <c r="Z21" i="3" s="1"/>
  <c r="Y20" i="3"/>
  <c r="X20" i="3"/>
  <c r="W20" i="3"/>
  <c r="V20" i="3"/>
  <c r="Z20" i="3" s="1"/>
  <c r="Y19" i="3"/>
  <c r="X19" i="3"/>
  <c r="W19" i="3"/>
  <c r="V19" i="3"/>
  <c r="Y18" i="3"/>
  <c r="X18" i="3"/>
  <c r="W18" i="3"/>
  <c r="V18" i="3"/>
  <c r="Y17" i="3"/>
  <c r="X17" i="3"/>
  <c r="W17" i="3"/>
  <c r="V17" i="3"/>
  <c r="Y16" i="3"/>
  <c r="X16" i="3"/>
  <c r="W16" i="3"/>
  <c r="V16" i="3"/>
  <c r="Y15" i="3"/>
  <c r="X15" i="3"/>
  <c r="W15" i="3"/>
  <c r="V15" i="3"/>
  <c r="Y14" i="3"/>
  <c r="X14" i="3"/>
  <c r="W14" i="3"/>
  <c r="V14" i="3"/>
  <c r="Y13" i="3"/>
  <c r="X13" i="3"/>
  <c r="W13" i="3"/>
  <c r="V13" i="3"/>
  <c r="Y12" i="3"/>
  <c r="X12" i="3"/>
  <c r="W12" i="3"/>
  <c r="V12" i="3"/>
  <c r="Y11" i="3"/>
  <c r="X11" i="3"/>
  <c r="W11" i="3"/>
  <c r="V11" i="3"/>
  <c r="Y10" i="3"/>
  <c r="X10" i="3"/>
  <c r="W10" i="3"/>
  <c r="V10" i="3"/>
  <c r="Y9" i="3"/>
  <c r="X9" i="3"/>
  <c r="W9" i="3"/>
  <c r="V9" i="3"/>
  <c r="Y8" i="3"/>
  <c r="X8" i="3"/>
  <c r="W8" i="3"/>
  <c r="V8" i="3"/>
  <c r="Y7" i="3"/>
  <c r="X7" i="3"/>
  <c r="W7" i="3"/>
  <c r="V7" i="3"/>
  <c r="Y6" i="3"/>
  <c r="X6" i="3"/>
  <c r="W6" i="3"/>
  <c r="V6" i="3"/>
  <c r="Y5" i="3"/>
  <c r="X5" i="3"/>
  <c r="W5" i="3"/>
  <c r="V5" i="3"/>
  <c r="Y4" i="3"/>
  <c r="X4" i="3"/>
  <c r="W4" i="3"/>
  <c r="V4" i="3"/>
  <c r="Y3" i="3"/>
  <c r="X3" i="3"/>
  <c r="W3" i="3"/>
  <c r="V3" i="3"/>
  <c r="AB19" i="3" l="1"/>
  <c r="B5" i="6"/>
  <c r="B5" i="5"/>
  <c r="AB3" i="3"/>
  <c r="AB4" i="3"/>
  <c r="AB5" i="3"/>
  <c r="AB6" i="3"/>
  <c r="D25" i="3"/>
  <c r="G5" i="5"/>
  <c r="AA13" i="3"/>
  <c r="AC7" i="3"/>
  <c r="AB9" i="3"/>
  <c r="AB11" i="3"/>
  <c r="AB13" i="3"/>
  <c r="AB15" i="3"/>
  <c r="AB17" i="3"/>
  <c r="Z3" i="3"/>
  <c r="Z4" i="3"/>
  <c r="B7" i="5" s="1"/>
  <c r="Z5" i="3"/>
  <c r="Z6" i="3"/>
  <c r="Z7" i="3"/>
  <c r="AB7" i="3"/>
  <c r="AC10" i="3"/>
  <c r="AC13" i="3"/>
  <c r="AC14" i="3"/>
  <c r="AC18" i="3"/>
  <c r="AB20" i="3"/>
  <c r="AB21" i="3"/>
  <c r="AB22" i="3"/>
  <c r="AA8" i="3"/>
  <c r="AA16" i="3"/>
  <c r="AB8" i="3"/>
  <c r="AB10" i="3"/>
  <c r="AB12" i="3"/>
  <c r="AB14" i="3"/>
  <c r="AB16" i="3"/>
  <c r="AB18" i="3"/>
  <c r="D26" i="3"/>
  <c r="AC5" i="3" s="1"/>
  <c r="AA4" i="3"/>
  <c r="B8" i="5" s="1"/>
  <c r="Z8" i="3"/>
  <c r="Z9" i="3"/>
  <c r="B7" i="6" s="1"/>
  <c r="Z10" i="3"/>
  <c r="Z11" i="3"/>
  <c r="Z12" i="3"/>
  <c r="Z13" i="3"/>
  <c r="Z14" i="3"/>
  <c r="Z15" i="3"/>
  <c r="Z16" i="3"/>
  <c r="Z17" i="3"/>
  <c r="Z18" i="3"/>
  <c r="Z19" i="3"/>
  <c r="AC20" i="3"/>
  <c r="AC22" i="3"/>
  <c r="B10" i="6" l="1"/>
  <c r="B2" i="6" s="1"/>
  <c r="B10" i="5"/>
  <c r="B2" i="5" s="1"/>
  <c r="B4" i="6"/>
  <c r="B4" i="5"/>
  <c r="AA7" i="3"/>
  <c r="AA3" i="3"/>
  <c r="AA14" i="3"/>
  <c r="AA22" i="3"/>
  <c r="AA11" i="3"/>
  <c r="AA6" i="3"/>
  <c r="AC11" i="3"/>
  <c r="B6" i="6"/>
  <c r="B6" i="5"/>
  <c r="AA19" i="3"/>
  <c r="AA12" i="3"/>
  <c r="AC17" i="3"/>
  <c r="AC9" i="3"/>
  <c r="AA20" i="3"/>
  <c r="AA17" i="3"/>
  <c r="AA9" i="3"/>
  <c r="B8" i="6" s="1"/>
  <c r="B9" i="6"/>
  <c r="B9" i="5"/>
  <c r="D2" i="5" s="1"/>
  <c r="A19" i="5" s="1"/>
  <c r="AA5" i="3"/>
  <c r="AA21" i="3"/>
  <c r="AA18" i="3"/>
  <c r="AA10" i="3"/>
  <c r="AA15" i="3"/>
  <c r="G6" i="5"/>
  <c r="AC6" i="3"/>
  <c r="AC16" i="3"/>
  <c r="AC12" i="3"/>
  <c r="AC8" i="3"/>
  <c r="AC3" i="3"/>
  <c r="AC21" i="3"/>
  <c r="AC4" i="3"/>
  <c r="AC19" i="3"/>
  <c r="AC15" i="3"/>
  <c r="D2" i="6" l="1"/>
  <c r="A19" i="6" s="1"/>
  <c r="J30" i="6"/>
  <c r="K30" i="6" s="1"/>
  <c r="J21" i="6"/>
  <c r="A18" i="6"/>
  <c r="J24" i="6"/>
  <c r="J18" i="6"/>
  <c r="J20" i="6" s="1"/>
  <c r="H3" i="5"/>
  <c r="J3" i="5"/>
  <c r="K5" i="5"/>
  <c r="K3" i="5"/>
  <c r="L3" i="5"/>
  <c r="M4" i="5"/>
  <c r="O3" i="5"/>
  <c r="I3" i="5"/>
  <c r="I5" i="5"/>
  <c r="N5" i="5"/>
  <c r="L5" i="5"/>
  <c r="P3" i="5"/>
  <c r="J4" i="5"/>
  <c r="R3" i="5"/>
  <c r="K4" i="5"/>
  <c r="Q4" i="5"/>
  <c r="M5" i="5"/>
  <c r="R5" i="5"/>
  <c r="P5" i="5"/>
  <c r="R4" i="5"/>
  <c r="M3" i="5"/>
  <c r="P4" i="5"/>
  <c r="N4" i="5"/>
  <c r="Q5" i="5"/>
  <c r="Q3" i="5"/>
  <c r="L4" i="5"/>
  <c r="N3" i="5"/>
  <c r="O4" i="5"/>
  <c r="J5" i="5"/>
  <c r="H5" i="5"/>
  <c r="I4" i="5"/>
  <c r="A18" i="5"/>
  <c r="A20" i="5" s="1"/>
  <c r="O5" i="5"/>
  <c r="H4" i="5"/>
  <c r="O6" i="5"/>
  <c r="K6" i="5"/>
  <c r="R6" i="5"/>
  <c r="N6" i="5"/>
  <c r="J6" i="5"/>
  <c r="Q6" i="5"/>
  <c r="M6" i="5"/>
  <c r="I6" i="5"/>
  <c r="P6" i="5"/>
  <c r="H6" i="5"/>
  <c r="L6" i="5"/>
  <c r="G7" i="5"/>
  <c r="A20" i="6" l="1"/>
  <c r="J29" i="6"/>
  <c r="J26" i="6"/>
  <c r="J28" i="6"/>
  <c r="R7" i="5"/>
  <c r="N7" i="5"/>
  <c r="J7" i="5"/>
  <c r="Q7" i="5"/>
  <c r="M7" i="5"/>
  <c r="I7" i="5"/>
  <c r="G8" i="5"/>
  <c r="P7" i="5"/>
  <c r="L7" i="5"/>
  <c r="H7" i="5"/>
  <c r="O7" i="5"/>
  <c r="K7" i="5"/>
  <c r="Q8" i="5" l="1"/>
  <c r="M8" i="5"/>
  <c r="I8" i="5"/>
  <c r="G9" i="5"/>
  <c r="P8" i="5"/>
  <c r="L8" i="5"/>
  <c r="H8" i="5"/>
  <c r="O8" i="5"/>
  <c r="K8" i="5"/>
  <c r="R8" i="5"/>
  <c r="N8" i="5"/>
  <c r="J8" i="5"/>
  <c r="G10" i="5" l="1"/>
  <c r="P9" i="5"/>
  <c r="L9" i="5"/>
  <c r="H9" i="5"/>
  <c r="R9" i="5"/>
  <c r="O9" i="5"/>
  <c r="K9" i="5"/>
  <c r="N9" i="5"/>
  <c r="J9" i="5"/>
  <c r="Q9" i="5"/>
  <c r="M9" i="5"/>
  <c r="I9" i="5"/>
  <c r="F17" i="6" l="1"/>
  <c r="G17" i="6" s="1"/>
  <c r="G11" i="5"/>
  <c r="O10" i="5"/>
  <c r="K10" i="5"/>
  <c r="Q10" i="5"/>
  <c r="R10" i="5"/>
  <c r="N10" i="5"/>
  <c r="J10" i="5"/>
  <c r="M10" i="5"/>
  <c r="I10" i="5"/>
  <c r="P10" i="5"/>
  <c r="L10" i="5"/>
  <c r="H10" i="5"/>
  <c r="F18" i="6" l="1"/>
  <c r="G18" i="6" s="1"/>
  <c r="G12" i="5"/>
  <c r="O11" i="5"/>
  <c r="K11" i="5"/>
  <c r="M11" i="5"/>
  <c r="R11" i="5"/>
  <c r="N11" i="5"/>
  <c r="J11" i="5"/>
  <c r="Q11" i="5"/>
  <c r="I11" i="5"/>
  <c r="P11" i="5"/>
  <c r="L11" i="5"/>
  <c r="H11" i="5"/>
  <c r="F16" i="6" l="1"/>
  <c r="G16" i="6" s="1"/>
  <c r="G13" i="5"/>
  <c r="O12" i="5"/>
  <c r="K12" i="5"/>
  <c r="Q12" i="5"/>
  <c r="I12" i="5"/>
  <c r="R12" i="5"/>
  <c r="F17" i="5" s="1"/>
  <c r="G17" i="5" s="1"/>
  <c r="N12" i="5"/>
  <c r="J12" i="5"/>
  <c r="M12" i="5"/>
  <c r="P12" i="5"/>
  <c r="L12" i="5"/>
  <c r="H12" i="5"/>
  <c r="O13" i="5" l="1"/>
  <c r="K13" i="5"/>
  <c r="Q13" i="5"/>
  <c r="M13" i="5"/>
  <c r="R13" i="5"/>
  <c r="F18" i="5" s="1"/>
  <c r="G18" i="5" s="1"/>
  <c r="N13" i="5"/>
  <c r="J13" i="5"/>
  <c r="I13" i="5"/>
  <c r="P13" i="5"/>
  <c r="L13" i="5"/>
  <c r="H13" i="5"/>
  <c r="F16" i="5" l="1"/>
  <c r="G16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FC7C25-C90C-42E9-8E0B-853A2470511C}" keepAlive="1" name="Query - Table 1" description="Connection to the 'Table 1' query in the workbook." type="5" refreshedVersion="6" background="1">
    <dbPr connection="Provider=Microsoft.Mashup.OleDb.1;Data Source=$Workbook$;Location=Table 1;Extended Properties=&quot;&quot;" command="SELECT * FROM [Table 1]"/>
  </connection>
</connections>
</file>

<file path=xl/sharedStrings.xml><?xml version="1.0" encoding="utf-8"?>
<sst xmlns="http://schemas.openxmlformats.org/spreadsheetml/2006/main" count="179" uniqueCount="88">
  <si>
    <t>#</t>
  </si>
  <si>
    <t>Team</t>
  </si>
  <si>
    <t>MP</t>
  </si>
  <si>
    <t>W</t>
  </si>
  <si>
    <t>D</t>
  </si>
  <si>
    <t>L</t>
  </si>
  <si>
    <t>F</t>
  </si>
  <si>
    <t>A</t>
  </si>
  <si>
    <t>P</t>
  </si>
  <si>
    <t>Previous rank: 2</t>
  </si>
  <si>
    <t>Lazio</t>
  </si>
  <si>
    <t>Previous rank: 1</t>
  </si>
  <si>
    <t>Juventus</t>
  </si>
  <si>
    <t>Internazionale</t>
  </si>
  <si>
    <t>Atalanta</t>
  </si>
  <si>
    <t>Roma</t>
  </si>
  <si>
    <t>Napoli</t>
  </si>
  <si>
    <t>Previous rank: 9</t>
  </si>
  <si>
    <t>Milan</t>
  </si>
  <si>
    <t>Previous rank: 7</t>
  </si>
  <si>
    <t>Hellas Verona</t>
  </si>
  <si>
    <t>Previous rank: 8</t>
  </si>
  <si>
    <t>Parma</t>
  </si>
  <si>
    <t>Bologna</t>
  </si>
  <si>
    <t>Cagliari</t>
  </si>
  <si>
    <t>Sassuolo</t>
  </si>
  <si>
    <t>Fiorentina</t>
  </si>
  <si>
    <t>Previous rank: 15</t>
  </si>
  <si>
    <t>Udinese</t>
  </si>
  <si>
    <t>Previous rank: 14</t>
  </si>
  <si>
    <t>Torino</t>
  </si>
  <si>
    <t>Lecce</t>
  </si>
  <si>
    <t>Sampdoria</t>
  </si>
  <si>
    <t>Genoa</t>
  </si>
  <si>
    <t>Brescia</t>
  </si>
  <si>
    <t>SPAL</t>
  </si>
  <si>
    <t>Total</t>
  </si>
  <si>
    <t>Home</t>
  </si>
  <si>
    <t>Away</t>
  </si>
  <si>
    <t>Average Goals for Home</t>
  </si>
  <si>
    <t>Average Goals for Away</t>
  </si>
  <si>
    <t>Average Goals against Home</t>
  </si>
  <si>
    <t>Home attaching strenght</t>
  </si>
  <si>
    <t>Home defensive strenght</t>
  </si>
  <si>
    <t>Away attacking strenght</t>
  </si>
  <si>
    <t>Away defensive strenght</t>
  </si>
  <si>
    <t>Step 1</t>
  </si>
  <si>
    <t xml:space="preserve">Determine </t>
  </si>
  <si>
    <t>for</t>
  </si>
  <si>
    <t>against</t>
  </si>
  <si>
    <t xml:space="preserve">average Home goals </t>
  </si>
  <si>
    <t>Goals home for</t>
  </si>
  <si>
    <t>Goals home agains</t>
  </si>
  <si>
    <t xml:space="preserve">average Away goals </t>
  </si>
  <si>
    <t>Goals away for</t>
  </si>
  <si>
    <t>Goals away agains</t>
  </si>
  <si>
    <t>Games Home</t>
  </si>
  <si>
    <t>Games away</t>
  </si>
  <si>
    <t>Poisson Mean</t>
  </si>
  <si>
    <t>Goals</t>
  </si>
  <si>
    <t>Home average attacking strenght</t>
  </si>
  <si>
    <t>Home average defensive strenght</t>
  </si>
  <si>
    <t>Away average attacking strenght</t>
  </si>
  <si>
    <t>Away average defensive strenght</t>
  </si>
  <si>
    <t>Home team average attachking strenght</t>
  </si>
  <si>
    <t>Home team average defensive strenght</t>
  </si>
  <si>
    <t>Away team average attacking strenght</t>
  </si>
  <si>
    <t>Away team average defensive strenght</t>
  </si>
  <si>
    <t>odds</t>
  </si>
  <si>
    <t>Home win</t>
  </si>
  <si>
    <t>Away win</t>
  </si>
  <si>
    <t>draw</t>
  </si>
  <si>
    <t>Average Goals Against Home</t>
  </si>
  <si>
    <t>Conditional Probabilities</t>
  </si>
  <si>
    <t>Assume that i know that Home team scored one goal</t>
  </si>
  <si>
    <t xml:space="preserve">I want to know the probability that juventus won the match. This event is only the case 1 0. </t>
  </si>
  <si>
    <t>Notice that this is equal to the probability that away team does not score</t>
  </si>
  <si>
    <t>the conditional probability is simply the ratio of the  probabilty that the home team wins, under our hypothesis, divided by the probability of our hypothesis</t>
  </si>
  <si>
    <t>bayes, 1 gol</t>
  </si>
  <si>
    <t>bayes 2 gol</t>
  </si>
  <si>
    <t>Assume that i know that Home team scored two goal</t>
  </si>
  <si>
    <t xml:space="preserve">I want to know the probability that juventus won the match. This event is only the case 20 and 2 1 </t>
  </si>
  <si>
    <t>Conditional Probability that home team loose</t>
  </si>
  <si>
    <t>Conditional Probability tha match ends with a draw</t>
  </si>
  <si>
    <t>Conditional Probability that match ends with away team winning</t>
  </si>
  <si>
    <t>which you may notice is the same probability that away team makes more than 3 goal</t>
  </si>
  <si>
    <t>Home team average attacking strenght</t>
  </si>
  <si>
    <t>esempio esame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</si>
</sst>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4F4F4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D5D3D4"/>
      </left>
      <right/>
      <top/>
      <bottom/>
      <diagonal/>
    </border>
    <border>
      <left/>
      <right style="medium">
        <color rgb="FFD5D3D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1" fillId="4" borderId="0" xfId="1" applyFill="1" applyAlignment="1">
      <alignment horizontal="left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" fillId="2" borderId="0" xfId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5" borderId="0" xfId="0" applyFill="1"/>
    <xf numFmtId="0" fontId="2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66675</xdr:colOff>
      <xdr:row>2</xdr:row>
      <xdr:rowOff>38100</xdr:rowOff>
    </xdr:to>
    <xdr:pic>
      <xdr:nvPicPr>
        <xdr:cNvPr id="2" name="Picture 1" descr="Previous rank: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66675</xdr:colOff>
      <xdr:row>3</xdr:row>
      <xdr:rowOff>38100</xdr:rowOff>
    </xdr:to>
    <xdr:pic>
      <xdr:nvPicPr>
        <xdr:cNvPr id="3" name="Picture 2" descr="Previous rank: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15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66675</xdr:colOff>
      <xdr:row>8</xdr:row>
      <xdr:rowOff>38100</xdr:rowOff>
    </xdr:to>
    <xdr:pic>
      <xdr:nvPicPr>
        <xdr:cNvPr id="4" name="Picture 3" descr="Previous rank: 9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45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66675</xdr:colOff>
      <xdr:row>9</xdr:row>
      <xdr:rowOff>38100</xdr:rowOff>
    </xdr:to>
    <xdr:pic>
      <xdr:nvPicPr>
        <xdr:cNvPr id="5" name="Picture 4" descr="Previous rank: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66675</xdr:colOff>
      <xdr:row>10</xdr:row>
      <xdr:rowOff>38100</xdr:rowOff>
    </xdr:to>
    <xdr:pic>
      <xdr:nvPicPr>
        <xdr:cNvPr id="6" name="Picture 5" descr="Previous rank: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860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66675</xdr:colOff>
      <xdr:row>15</xdr:row>
      <xdr:rowOff>38100</xdr:rowOff>
    </xdr:to>
    <xdr:pic>
      <xdr:nvPicPr>
        <xdr:cNvPr id="7" name="Picture 6" descr="Previous rank: 1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290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66675</xdr:colOff>
      <xdr:row>16</xdr:row>
      <xdr:rowOff>38100</xdr:rowOff>
    </xdr:to>
    <xdr:pic>
      <xdr:nvPicPr>
        <xdr:cNvPr id="8" name="Picture 7" descr="Previous rank: 1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195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66675</xdr:colOff>
      <xdr:row>2</xdr:row>
      <xdr:rowOff>38100</xdr:rowOff>
    </xdr:to>
    <xdr:pic>
      <xdr:nvPicPr>
        <xdr:cNvPr id="23" name="Picture 22" descr="Previous rank: 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66675</xdr:colOff>
      <xdr:row>3</xdr:row>
      <xdr:rowOff>38100</xdr:rowOff>
    </xdr:to>
    <xdr:pic>
      <xdr:nvPicPr>
        <xdr:cNvPr id="24" name="Picture 23" descr="Previous rank: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715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66675</xdr:colOff>
      <xdr:row>8</xdr:row>
      <xdr:rowOff>38100</xdr:rowOff>
    </xdr:to>
    <xdr:pic>
      <xdr:nvPicPr>
        <xdr:cNvPr id="25" name="Picture 24" descr="Previous rank: 9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45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66675</xdr:colOff>
      <xdr:row>9</xdr:row>
      <xdr:rowOff>38100</xdr:rowOff>
    </xdr:to>
    <xdr:pic>
      <xdr:nvPicPr>
        <xdr:cNvPr id="26" name="Picture 25" descr="Previous rank: 7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66675</xdr:colOff>
      <xdr:row>10</xdr:row>
      <xdr:rowOff>38100</xdr:rowOff>
    </xdr:to>
    <xdr:pic>
      <xdr:nvPicPr>
        <xdr:cNvPr id="27" name="Picture 26" descr="Previous rank: 8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2860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66675</xdr:colOff>
      <xdr:row>15</xdr:row>
      <xdr:rowOff>38100</xdr:rowOff>
    </xdr:to>
    <xdr:pic>
      <xdr:nvPicPr>
        <xdr:cNvPr id="28" name="Picture 27" descr="Previous rank: 1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4290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66675</xdr:colOff>
      <xdr:row>16</xdr:row>
      <xdr:rowOff>38100</xdr:rowOff>
    </xdr:to>
    <xdr:pic>
      <xdr:nvPicPr>
        <xdr:cNvPr id="29" name="Picture 28" descr="Previous rank: 14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19500"/>
          <a:ext cx="66675" cy="38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</xdr:colOff>
          <xdr:row>2</xdr:row>
          <xdr:rowOff>177800</xdr:rowOff>
        </xdr:from>
        <xdr:to>
          <xdr:col>5</xdr:col>
          <xdr:colOff>152400</xdr:colOff>
          <xdr:row>6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Press the Button to determine Probabilities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1371600</xdr:colOff>
          <xdr:row>9</xdr:row>
          <xdr:rowOff>50800</xdr:rowOff>
        </xdr:from>
        <xdr:to>
          <xdr:col>4</xdr:col>
          <xdr:colOff>596900</xdr:colOff>
          <xdr:row>11</xdr:row>
          <xdr:rowOff>50800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esegui macro1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12</xdr:row>
          <xdr:rowOff>152400</xdr:rowOff>
        </xdr:from>
        <xdr:to>
          <xdr:col>3</xdr:col>
          <xdr:colOff>165100</xdr:colOff>
          <xdr:row>14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determina probabilita</a:t>
              </a:r>
            </a:p>
            <a:p>
              <a:pPr algn="ctr" rtl="0">
                <a:defRPr sz="1000"/>
              </a:pPr>
              <a:endParaRPr lang="en-GB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3B1F-C289-45F5-B38E-2327CB039CBE}">
  <sheetPr codeName="Sheet1"/>
  <dimension ref="A1:W22"/>
  <sheetViews>
    <sheetView workbookViewId="0">
      <selection activeCell="I3" sqref="I3"/>
    </sheetView>
  </sheetViews>
  <sheetFormatPr baseColWidth="10" defaultColWidth="8.83203125" defaultRowHeight="15" x14ac:dyDescent="0.2"/>
  <sheetData>
    <row r="1" spans="1:23" x14ac:dyDescent="0.2">
      <c r="A1" s="2" t="s">
        <v>36</v>
      </c>
      <c r="B1" s="2"/>
      <c r="C1" s="2"/>
      <c r="D1" s="2"/>
      <c r="E1" s="2"/>
      <c r="F1" s="2"/>
      <c r="G1" s="21" t="s">
        <v>37</v>
      </c>
      <c r="H1" s="21"/>
      <c r="I1" s="21"/>
      <c r="J1" s="21"/>
      <c r="K1" s="21"/>
      <c r="L1" s="21"/>
      <c r="M1" s="21" t="s">
        <v>38</v>
      </c>
      <c r="N1" s="21"/>
      <c r="O1" s="21"/>
      <c r="P1" s="21"/>
      <c r="Q1" s="21"/>
      <c r="R1" s="21"/>
      <c r="S1" s="2"/>
      <c r="T1" s="2"/>
      <c r="U1" s="1"/>
      <c r="V1" s="1"/>
      <c r="W1" s="1"/>
    </row>
    <row r="2" spans="1:23" x14ac:dyDescent="0.2">
      <c r="A2" s="3" t="s">
        <v>0</v>
      </c>
      <c r="B2" s="2"/>
      <c r="C2" s="4" t="s">
        <v>1</v>
      </c>
      <c r="D2" s="5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6" t="s">
        <v>7</v>
      </c>
      <c r="J2" s="5" t="s">
        <v>2</v>
      </c>
      <c r="K2" s="2" t="s">
        <v>3</v>
      </c>
      <c r="L2" s="2" t="s">
        <v>4</v>
      </c>
      <c r="M2" s="2" t="s">
        <v>5</v>
      </c>
      <c r="N2" s="2" t="s">
        <v>6</v>
      </c>
      <c r="O2" s="6" t="s">
        <v>7</v>
      </c>
      <c r="P2" s="5" t="s">
        <v>2</v>
      </c>
      <c r="Q2" s="2" t="s">
        <v>3</v>
      </c>
      <c r="R2" s="2" t="s">
        <v>4</v>
      </c>
      <c r="S2" s="2" t="s">
        <v>5</v>
      </c>
      <c r="T2" s="2" t="s">
        <v>6</v>
      </c>
      <c r="U2" s="6" t="s">
        <v>7</v>
      </c>
      <c r="V2" s="2" t="s">
        <v>4</v>
      </c>
      <c r="W2" s="2" t="s">
        <v>8</v>
      </c>
    </row>
    <row r="3" spans="1:23" ht="26" x14ac:dyDescent="0.2">
      <c r="A3" s="7">
        <v>1</v>
      </c>
      <c r="B3" s="8" t="s">
        <v>9</v>
      </c>
      <c r="C3" s="9" t="s">
        <v>10</v>
      </c>
      <c r="D3" s="10">
        <v>26</v>
      </c>
      <c r="E3" s="8">
        <v>19</v>
      </c>
      <c r="F3" s="8">
        <v>5</v>
      </c>
      <c r="G3" s="8">
        <v>2</v>
      </c>
      <c r="H3" s="8">
        <v>60</v>
      </c>
      <c r="I3" s="11">
        <v>23</v>
      </c>
      <c r="J3" s="10">
        <v>14</v>
      </c>
      <c r="K3" s="8">
        <v>11</v>
      </c>
      <c r="L3" s="8">
        <v>3</v>
      </c>
      <c r="M3" s="8">
        <v>0</v>
      </c>
      <c r="N3" s="8">
        <v>39</v>
      </c>
      <c r="O3" s="11">
        <v>10</v>
      </c>
      <c r="P3" s="10">
        <v>12</v>
      </c>
      <c r="Q3" s="8">
        <v>8</v>
      </c>
      <c r="R3" s="8">
        <v>2</v>
      </c>
      <c r="S3" s="8">
        <v>2</v>
      </c>
      <c r="T3" s="8">
        <v>21</v>
      </c>
      <c r="U3" s="11">
        <v>13</v>
      </c>
      <c r="V3" s="8">
        <v>37</v>
      </c>
      <c r="W3" s="12">
        <v>62</v>
      </c>
    </row>
    <row r="4" spans="1:23" ht="26" x14ac:dyDescent="0.2">
      <c r="A4" s="13">
        <v>2</v>
      </c>
      <c r="B4" s="14" t="s">
        <v>11</v>
      </c>
      <c r="C4" s="15" t="s">
        <v>12</v>
      </c>
      <c r="D4" s="16">
        <v>25</v>
      </c>
      <c r="E4" s="14">
        <v>19</v>
      </c>
      <c r="F4" s="14">
        <v>3</v>
      </c>
      <c r="G4" s="14">
        <v>3</v>
      </c>
      <c r="H4" s="14">
        <v>48</v>
      </c>
      <c r="I4" s="17">
        <v>24</v>
      </c>
      <c r="J4" s="16">
        <v>12</v>
      </c>
      <c r="K4" s="14">
        <v>11</v>
      </c>
      <c r="L4" s="14">
        <v>1</v>
      </c>
      <c r="M4" s="14">
        <v>0</v>
      </c>
      <c r="N4" s="14">
        <v>29</v>
      </c>
      <c r="O4" s="17">
        <v>10</v>
      </c>
      <c r="P4" s="16">
        <v>13</v>
      </c>
      <c r="Q4" s="14">
        <v>8</v>
      </c>
      <c r="R4" s="14">
        <v>2</v>
      </c>
      <c r="S4" s="14">
        <v>3</v>
      </c>
      <c r="T4" s="14">
        <v>19</v>
      </c>
      <c r="U4" s="17">
        <v>14</v>
      </c>
      <c r="V4" s="14">
        <v>24</v>
      </c>
      <c r="W4" s="2">
        <v>60</v>
      </c>
    </row>
    <row r="5" spans="1:23" ht="32" x14ac:dyDescent="0.2">
      <c r="A5" s="7">
        <v>3</v>
      </c>
      <c r="B5" s="8"/>
      <c r="C5" s="9" t="s">
        <v>13</v>
      </c>
      <c r="D5" s="10">
        <v>24</v>
      </c>
      <c r="E5" s="8">
        <v>16</v>
      </c>
      <c r="F5" s="8">
        <v>6</v>
      </c>
      <c r="G5" s="8">
        <v>2</v>
      </c>
      <c r="H5" s="8">
        <v>49</v>
      </c>
      <c r="I5" s="11">
        <v>22</v>
      </c>
      <c r="J5" s="10">
        <v>12</v>
      </c>
      <c r="K5" s="8">
        <v>7</v>
      </c>
      <c r="L5" s="8">
        <v>4</v>
      </c>
      <c r="M5" s="8">
        <v>1</v>
      </c>
      <c r="N5" s="8">
        <v>23</v>
      </c>
      <c r="O5" s="11">
        <v>10</v>
      </c>
      <c r="P5" s="10">
        <v>12</v>
      </c>
      <c r="Q5" s="8">
        <v>9</v>
      </c>
      <c r="R5" s="8">
        <v>2</v>
      </c>
      <c r="S5" s="8">
        <v>1</v>
      </c>
      <c r="T5" s="8">
        <v>26</v>
      </c>
      <c r="U5" s="11">
        <v>12</v>
      </c>
      <c r="V5" s="8">
        <v>27</v>
      </c>
      <c r="W5" s="12">
        <v>54</v>
      </c>
    </row>
    <row r="6" spans="1:23" ht="16" x14ac:dyDescent="0.2">
      <c r="A6" s="13">
        <v>4</v>
      </c>
      <c r="B6" s="14"/>
      <c r="C6" s="15" t="s">
        <v>14</v>
      </c>
      <c r="D6" s="16">
        <v>25</v>
      </c>
      <c r="E6" s="14">
        <v>14</v>
      </c>
      <c r="F6" s="14">
        <v>6</v>
      </c>
      <c r="G6" s="14">
        <v>5</v>
      </c>
      <c r="H6" s="14">
        <v>70</v>
      </c>
      <c r="I6" s="17">
        <v>34</v>
      </c>
      <c r="J6" s="16">
        <v>12</v>
      </c>
      <c r="K6" s="14">
        <v>6</v>
      </c>
      <c r="L6" s="14">
        <v>2</v>
      </c>
      <c r="M6" s="14">
        <v>4</v>
      </c>
      <c r="N6" s="14">
        <v>33</v>
      </c>
      <c r="O6" s="17">
        <v>19</v>
      </c>
      <c r="P6" s="16">
        <v>13</v>
      </c>
      <c r="Q6" s="14">
        <v>8</v>
      </c>
      <c r="R6" s="14">
        <v>4</v>
      </c>
      <c r="S6" s="14">
        <v>1</v>
      </c>
      <c r="T6" s="14">
        <v>37</v>
      </c>
      <c r="U6" s="17">
        <v>15</v>
      </c>
      <c r="V6" s="14">
        <v>36</v>
      </c>
      <c r="W6" s="2">
        <v>48</v>
      </c>
    </row>
    <row r="7" spans="1:23" ht="16" x14ac:dyDescent="0.2">
      <c r="A7" s="7">
        <v>5</v>
      </c>
      <c r="B7" s="8"/>
      <c r="C7" s="9" t="s">
        <v>15</v>
      </c>
      <c r="D7" s="10">
        <v>26</v>
      </c>
      <c r="E7" s="8">
        <v>13</v>
      </c>
      <c r="F7" s="8">
        <v>6</v>
      </c>
      <c r="G7" s="8">
        <v>7</v>
      </c>
      <c r="H7" s="8">
        <v>51</v>
      </c>
      <c r="I7" s="11">
        <v>35</v>
      </c>
      <c r="J7" s="10">
        <v>13</v>
      </c>
      <c r="K7" s="8">
        <v>6</v>
      </c>
      <c r="L7" s="8">
        <v>3</v>
      </c>
      <c r="M7" s="8">
        <v>4</v>
      </c>
      <c r="N7" s="8">
        <v>26</v>
      </c>
      <c r="O7" s="11">
        <v>19</v>
      </c>
      <c r="P7" s="10">
        <v>13</v>
      </c>
      <c r="Q7" s="8">
        <v>7</v>
      </c>
      <c r="R7" s="8">
        <v>3</v>
      </c>
      <c r="S7" s="8">
        <v>3</v>
      </c>
      <c r="T7" s="8">
        <v>25</v>
      </c>
      <c r="U7" s="11">
        <v>16</v>
      </c>
      <c r="V7" s="8">
        <v>16</v>
      </c>
      <c r="W7" s="12">
        <v>45</v>
      </c>
    </row>
    <row r="8" spans="1:23" ht="16" x14ac:dyDescent="0.2">
      <c r="A8" s="13">
        <v>6</v>
      </c>
      <c r="B8" s="14"/>
      <c r="C8" s="15" t="s">
        <v>16</v>
      </c>
      <c r="D8" s="16">
        <v>26</v>
      </c>
      <c r="E8" s="14">
        <v>11</v>
      </c>
      <c r="F8" s="14">
        <v>6</v>
      </c>
      <c r="G8" s="14">
        <v>9</v>
      </c>
      <c r="H8" s="14">
        <v>41</v>
      </c>
      <c r="I8" s="17">
        <v>36</v>
      </c>
      <c r="J8" s="16">
        <v>13</v>
      </c>
      <c r="K8" s="14">
        <v>5</v>
      </c>
      <c r="L8" s="14">
        <v>2</v>
      </c>
      <c r="M8" s="14">
        <v>6</v>
      </c>
      <c r="N8" s="14">
        <v>17</v>
      </c>
      <c r="O8" s="17">
        <v>18</v>
      </c>
      <c r="P8" s="16">
        <v>13</v>
      </c>
      <c r="Q8" s="14">
        <v>6</v>
      </c>
      <c r="R8" s="14">
        <v>4</v>
      </c>
      <c r="S8" s="14">
        <v>3</v>
      </c>
      <c r="T8" s="14">
        <v>24</v>
      </c>
      <c r="U8" s="17">
        <v>18</v>
      </c>
      <c r="V8" s="14">
        <v>5</v>
      </c>
      <c r="W8" s="2">
        <v>39</v>
      </c>
    </row>
    <row r="9" spans="1:23" ht="26" x14ac:dyDescent="0.2">
      <c r="A9" s="7">
        <v>7</v>
      </c>
      <c r="B9" s="8" t="s">
        <v>17</v>
      </c>
      <c r="C9" s="9" t="s">
        <v>18</v>
      </c>
      <c r="D9" s="10">
        <v>25</v>
      </c>
      <c r="E9" s="8">
        <v>10</v>
      </c>
      <c r="F9" s="8">
        <v>6</v>
      </c>
      <c r="G9" s="8">
        <v>9</v>
      </c>
      <c r="H9" s="8">
        <v>27</v>
      </c>
      <c r="I9" s="11">
        <v>32</v>
      </c>
      <c r="J9" s="10">
        <v>12</v>
      </c>
      <c r="K9" s="8">
        <v>4</v>
      </c>
      <c r="L9" s="8">
        <v>5</v>
      </c>
      <c r="M9" s="8">
        <v>3</v>
      </c>
      <c r="N9" s="8">
        <v>12</v>
      </c>
      <c r="O9" s="11">
        <v>13</v>
      </c>
      <c r="P9" s="10">
        <v>13</v>
      </c>
      <c r="Q9" s="8">
        <v>6</v>
      </c>
      <c r="R9" s="8">
        <v>1</v>
      </c>
      <c r="S9" s="8">
        <v>6</v>
      </c>
      <c r="T9" s="8">
        <v>15</v>
      </c>
      <c r="U9" s="11">
        <v>19</v>
      </c>
      <c r="V9" s="8">
        <v>-5</v>
      </c>
      <c r="W9" s="12">
        <v>36</v>
      </c>
    </row>
    <row r="10" spans="1:23" ht="32" x14ac:dyDescent="0.2">
      <c r="A10" s="13">
        <v>8</v>
      </c>
      <c r="B10" s="14" t="s">
        <v>19</v>
      </c>
      <c r="C10" s="15" t="s">
        <v>20</v>
      </c>
      <c r="D10" s="16">
        <v>24</v>
      </c>
      <c r="E10" s="14">
        <v>9</v>
      </c>
      <c r="F10" s="14">
        <v>8</v>
      </c>
      <c r="G10" s="14">
        <v>7</v>
      </c>
      <c r="H10" s="14">
        <v>28</v>
      </c>
      <c r="I10" s="17">
        <v>24</v>
      </c>
      <c r="J10" s="16">
        <v>12</v>
      </c>
      <c r="K10" s="14">
        <v>6</v>
      </c>
      <c r="L10" s="14">
        <v>3</v>
      </c>
      <c r="M10" s="14">
        <v>3</v>
      </c>
      <c r="N10" s="14">
        <v>17</v>
      </c>
      <c r="O10" s="17">
        <v>12</v>
      </c>
      <c r="P10" s="16">
        <v>12</v>
      </c>
      <c r="Q10" s="14">
        <v>3</v>
      </c>
      <c r="R10" s="14">
        <v>5</v>
      </c>
      <c r="S10" s="14">
        <v>4</v>
      </c>
      <c r="T10" s="14">
        <v>11</v>
      </c>
      <c r="U10" s="17">
        <v>12</v>
      </c>
      <c r="V10" s="14">
        <v>4</v>
      </c>
      <c r="W10" s="2">
        <v>35</v>
      </c>
    </row>
    <row r="11" spans="1:23" ht="26" x14ac:dyDescent="0.2">
      <c r="A11" s="7">
        <v>9</v>
      </c>
      <c r="B11" s="8" t="s">
        <v>21</v>
      </c>
      <c r="C11" s="9" t="s">
        <v>22</v>
      </c>
      <c r="D11" s="10">
        <v>24</v>
      </c>
      <c r="E11" s="8">
        <v>10</v>
      </c>
      <c r="F11" s="8">
        <v>5</v>
      </c>
      <c r="G11" s="8">
        <v>9</v>
      </c>
      <c r="H11" s="8">
        <v>32</v>
      </c>
      <c r="I11" s="11">
        <v>30</v>
      </c>
      <c r="J11" s="10">
        <v>12</v>
      </c>
      <c r="K11" s="8">
        <v>6</v>
      </c>
      <c r="L11" s="8">
        <v>1</v>
      </c>
      <c r="M11" s="8">
        <v>5</v>
      </c>
      <c r="N11" s="8">
        <v>17</v>
      </c>
      <c r="O11" s="11">
        <v>11</v>
      </c>
      <c r="P11" s="10">
        <v>12</v>
      </c>
      <c r="Q11" s="8">
        <v>4</v>
      </c>
      <c r="R11" s="8">
        <v>4</v>
      </c>
      <c r="S11" s="8">
        <v>4</v>
      </c>
      <c r="T11" s="8">
        <v>15</v>
      </c>
      <c r="U11" s="11">
        <v>19</v>
      </c>
      <c r="V11" s="8">
        <v>2</v>
      </c>
      <c r="W11" s="12">
        <v>35</v>
      </c>
    </row>
    <row r="12" spans="1:23" ht="16" x14ac:dyDescent="0.2">
      <c r="A12" s="13">
        <v>10</v>
      </c>
      <c r="B12" s="14"/>
      <c r="C12" s="15" t="s">
        <v>23</v>
      </c>
      <c r="D12" s="16">
        <v>26</v>
      </c>
      <c r="E12" s="14">
        <v>9</v>
      </c>
      <c r="F12" s="14">
        <v>7</v>
      </c>
      <c r="G12" s="14">
        <v>10</v>
      </c>
      <c r="H12" s="14">
        <v>38</v>
      </c>
      <c r="I12" s="17">
        <v>42</v>
      </c>
      <c r="J12" s="16">
        <v>13</v>
      </c>
      <c r="K12" s="14">
        <v>4</v>
      </c>
      <c r="L12" s="14">
        <v>5</v>
      </c>
      <c r="M12" s="14">
        <v>4</v>
      </c>
      <c r="N12" s="14">
        <v>18</v>
      </c>
      <c r="O12" s="17">
        <v>20</v>
      </c>
      <c r="P12" s="16">
        <v>13</v>
      </c>
      <c r="Q12" s="14">
        <v>5</v>
      </c>
      <c r="R12" s="14">
        <v>2</v>
      </c>
      <c r="S12" s="14">
        <v>6</v>
      </c>
      <c r="T12" s="14">
        <v>20</v>
      </c>
      <c r="U12" s="17">
        <v>22</v>
      </c>
      <c r="V12" s="14">
        <v>-4</v>
      </c>
      <c r="W12" s="2">
        <v>34</v>
      </c>
    </row>
    <row r="13" spans="1:23" ht="16" x14ac:dyDescent="0.2">
      <c r="A13" s="7">
        <v>11</v>
      </c>
      <c r="B13" s="8"/>
      <c r="C13" s="9" t="s">
        <v>24</v>
      </c>
      <c r="D13" s="10">
        <v>25</v>
      </c>
      <c r="E13" s="8">
        <v>8</v>
      </c>
      <c r="F13" s="8">
        <v>8</v>
      </c>
      <c r="G13" s="8">
        <v>9</v>
      </c>
      <c r="H13" s="8">
        <v>41</v>
      </c>
      <c r="I13" s="11">
        <v>40</v>
      </c>
      <c r="J13" s="10">
        <v>13</v>
      </c>
      <c r="K13" s="8">
        <v>5</v>
      </c>
      <c r="L13" s="8">
        <v>2</v>
      </c>
      <c r="M13" s="8">
        <v>6</v>
      </c>
      <c r="N13" s="8">
        <v>25</v>
      </c>
      <c r="O13" s="11">
        <v>23</v>
      </c>
      <c r="P13" s="10">
        <v>12</v>
      </c>
      <c r="Q13" s="8">
        <v>3</v>
      </c>
      <c r="R13" s="8">
        <v>6</v>
      </c>
      <c r="S13" s="8">
        <v>3</v>
      </c>
      <c r="T13" s="8">
        <v>16</v>
      </c>
      <c r="U13" s="11">
        <v>17</v>
      </c>
      <c r="V13" s="8">
        <v>1</v>
      </c>
      <c r="W13" s="12">
        <v>32</v>
      </c>
    </row>
    <row r="14" spans="1:23" ht="16" x14ac:dyDescent="0.2">
      <c r="A14" s="13">
        <v>12</v>
      </c>
      <c r="B14" s="14"/>
      <c r="C14" s="15" t="s">
        <v>25</v>
      </c>
      <c r="D14" s="16">
        <v>24</v>
      </c>
      <c r="E14" s="14">
        <v>8</v>
      </c>
      <c r="F14" s="14">
        <v>5</v>
      </c>
      <c r="G14" s="14">
        <v>11</v>
      </c>
      <c r="H14" s="14">
        <v>38</v>
      </c>
      <c r="I14" s="17">
        <v>39</v>
      </c>
      <c r="J14" s="16">
        <v>12</v>
      </c>
      <c r="K14" s="14">
        <v>5</v>
      </c>
      <c r="L14" s="14">
        <v>1</v>
      </c>
      <c r="M14" s="14">
        <v>6</v>
      </c>
      <c r="N14" s="14">
        <v>25</v>
      </c>
      <c r="O14" s="17">
        <v>22</v>
      </c>
      <c r="P14" s="16">
        <v>12</v>
      </c>
      <c r="Q14" s="14">
        <v>3</v>
      </c>
      <c r="R14" s="14">
        <v>4</v>
      </c>
      <c r="S14" s="14">
        <v>5</v>
      </c>
      <c r="T14" s="14">
        <v>13</v>
      </c>
      <c r="U14" s="17">
        <v>17</v>
      </c>
      <c r="V14" s="14">
        <v>-1</v>
      </c>
      <c r="W14" s="2">
        <v>29</v>
      </c>
    </row>
    <row r="15" spans="1:23" ht="32" x14ac:dyDescent="0.2">
      <c r="A15" s="7">
        <v>13</v>
      </c>
      <c r="B15" s="8"/>
      <c r="C15" s="9" t="s">
        <v>26</v>
      </c>
      <c r="D15" s="10">
        <v>25</v>
      </c>
      <c r="E15" s="8">
        <v>7</v>
      </c>
      <c r="F15" s="8">
        <v>8</v>
      </c>
      <c r="G15" s="8">
        <v>10</v>
      </c>
      <c r="H15" s="8">
        <v>32</v>
      </c>
      <c r="I15" s="11">
        <v>36</v>
      </c>
      <c r="J15" s="10">
        <v>13</v>
      </c>
      <c r="K15" s="8">
        <v>3</v>
      </c>
      <c r="L15" s="8">
        <v>5</v>
      </c>
      <c r="M15" s="8">
        <v>5</v>
      </c>
      <c r="N15" s="8">
        <v>13</v>
      </c>
      <c r="O15" s="11">
        <v>17</v>
      </c>
      <c r="P15" s="10">
        <v>12</v>
      </c>
      <c r="Q15" s="8">
        <v>4</v>
      </c>
      <c r="R15" s="8">
        <v>3</v>
      </c>
      <c r="S15" s="8">
        <v>5</v>
      </c>
      <c r="T15" s="8">
        <v>19</v>
      </c>
      <c r="U15" s="11">
        <v>19</v>
      </c>
      <c r="V15" s="8">
        <v>-4</v>
      </c>
      <c r="W15" s="12">
        <v>29</v>
      </c>
    </row>
    <row r="16" spans="1:23" ht="26" x14ac:dyDescent="0.2">
      <c r="A16" s="13">
        <v>14</v>
      </c>
      <c r="B16" s="14" t="s">
        <v>27</v>
      </c>
      <c r="C16" s="15" t="s">
        <v>28</v>
      </c>
      <c r="D16" s="16">
        <v>25</v>
      </c>
      <c r="E16" s="14">
        <v>7</v>
      </c>
      <c r="F16" s="14">
        <v>6</v>
      </c>
      <c r="G16" s="14">
        <v>12</v>
      </c>
      <c r="H16" s="14">
        <v>21</v>
      </c>
      <c r="I16" s="17">
        <v>37</v>
      </c>
      <c r="J16" s="16">
        <v>12</v>
      </c>
      <c r="K16" s="14">
        <v>5</v>
      </c>
      <c r="L16" s="14">
        <v>3</v>
      </c>
      <c r="M16" s="14">
        <v>4</v>
      </c>
      <c r="N16" s="14">
        <v>10</v>
      </c>
      <c r="O16" s="17">
        <v>12</v>
      </c>
      <c r="P16" s="16">
        <v>13</v>
      </c>
      <c r="Q16" s="14">
        <v>2</v>
      </c>
      <c r="R16" s="14">
        <v>3</v>
      </c>
      <c r="S16" s="14">
        <v>8</v>
      </c>
      <c r="T16" s="14">
        <v>11</v>
      </c>
      <c r="U16" s="17">
        <v>25</v>
      </c>
      <c r="V16" s="14">
        <v>-16</v>
      </c>
      <c r="W16" s="2">
        <v>27</v>
      </c>
    </row>
    <row r="17" spans="1:23" ht="26" x14ac:dyDescent="0.2">
      <c r="A17" s="7">
        <v>15</v>
      </c>
      <c r="B17" s="8" t="s">
        <v>29</v>
      </c>
      <c r="C17" s="9" t="s">
        <v>30</v>
      </c>
      <c r="D17" s="10">
        <v>25</v>
      </c>
      <c r="E17" s="8">
        <v>8</v>
      </c>
      <c r="F17" s="8">
        <v>3</v>
      </c>
      <c r="G17" s="8">
        <v>14</v>
      </c>
      <c r="H17" s="8">
        <v>28</v>
      </c>
      <c r="I17" s="11">
        <v>45</v>
      </c>
      <c r="J17" s="10">
        <v>12</v>
      </c>
      <c r="K17" s="8">
        <v>4</v>
      </c>
      <c r="L17" s="8">
        <v>2</v>
      </c>
      <c r="M17" s="8">
        <v>6</v>
      </c>
      <c r="N17" s="8">
        <v>11</v>
      </c>
      <c r="O17" s="11">
        <v>22</v>
      </c>
      <c r="P17" s="10">
        <v>13</v>
      </c>
      <c r="Q17" s="8">
        <v>4</v>
      </c>
      <c r="R17" s="8">
        <v>1</v>
      </c>
      <c r="S17" s="8">
        <v>8</v>
      </c>
      <c r="T17" s="8">
        <v>17</v>
      </c>
      <c r="U17" s="11">
        <v>23</v>
      </c>
      <c r="V17" s="8">
        <v>-17</v>
      </c>
      <c r="W17" s="12">
        <v>27</v>
      </c>
    </row>
    <row r="18" spans="1:23" ht="16" x14ac:dyDescent="0.2">
      <c r="A18" s="13">
        <v>16</v>
      </c>
      <c r="B18" s="14"/>
      <c r="C18" s="15" t="s">
        <v>31</v>
      </c>
      <c r="D18" s="16">
        <v>26</v>
      </c>
      <c r="E18" s="14">
        <v>6</v>
      </c>
      <c r="F18" s="14">
        <v>7</v>
      </c>
      <c r="G18" s="14">
        <v>13</v>
      </c>
      <c r="H18" s="14">
        <v>34</v>
      </c>
      <c r="I18" s="17">
        <v>56</v>
      </c>
      <c r="J18" s="16">
        <v>13</v>
      </c>
      <c r="K18" s="14">
        <v>2</v>
      </c>
      <c r="L18" s="14">
        <v>5</v>
      </c>
      <c r="M18" s="14">
        <v>6</v>
      </c>
      <c r="N18" s="14">
        <v>19</v>
      </c>
      <c r="O18" s="17">
        <v>26</v>
      </c>
      <c r="P18" s="16">
        <v>13</v>
      </c>
      <c r="Q18" s="14">
        <v>4</v>
      </c>
      <c r="R18" s="14">
        <v>2</v>
      </c>
      <c r="S18" s="14">
        <v>7</v>
      </c>
      <c r="T18" s="14">
        <v>15</v>
      </c>
      <c r="U18" s="17">
        <v>30</v>
      </c>
      <c r="V18" s="14">
        <v>-22</v>
      </c>
      <c r="W18" s="2">
        <v>25</v>
      </c>
    </row>
    <row r="19" spans="1:23" ht="32" x14ac:dyDescent="0.2">
      <c r="A19" s="7">
        <v>17</v>
      </c>
      <c r="B19" s="8"/>
      <c r="C19" s="9" t="s">
        <v>32</v>
      </c>
      <c r="D19" s="10">
        <v>24</v>
      </c>
      <c r="E19" s="8">
        <v>6</v>
      </c>
      <c r="F19" s="8">
        <v>5</v>
      </c>
      <c r="G19" s="8">
        <v>13</v>
      </c>
      <c r="H19" s="8">
        <v>26</v>
      </c>
      <c r="I19" s="11">
        <v>43</v>
      </c>
      <c r="J19" s="10">
        <v>13</v>
      </c>
      <c r="K19" s="8">
        <v>3</v>
      </c>
      <c r="L19" s="8">
        <v>4</v>
      </c>
      <c r="M19" s="8">
        <v>6</v>
      </c>
      <c r="N19" s="8">
        <v>14</v>
      </c>
      <c r="O19" s="11">
        <v>21</v>
      </c>
      <c r="P19" s="10">
        <v>11</v>
      </c>
      <c r="Q19" s="8">
        <v>3</v>
      </c>
      <c r="R19" s="8">
        <v>1</v>
      </c>
      <c r="S19" s="8">
        <v>7</v>
      </c>
      <c r="T19" s="8">
        <v>12</v>
      </c>
      <c r="U19" s="11">
        <v>22</v>
      </c>
      <c r="V19" s="8">
        <v>-17</v>
      </c>
      <c r="W19" s="12">
        <v>23</v>
      </c>
    </row>
    <row r="20" spans="1:23" ht="16" x14ac:dyDescent="0.2">
      <c r="A20" s="13">
        <v>18</v>
      </c>
      <c r="B20" s="14"/>
      <c r="C20" s="15" t="s">
        <v>33</v>
      </c>
      <c r="D20" s="16">
        <v>25</v>
      </c>
      <c r="E20" s="14">
        <v>5</v>
      </c>
      <c r="F20" s="14">
        <v>7</v>
      </c>
      <c r="G20" s="14">
        <v>13</v>
      </c>
      <c r="H20" s="14">
        <v>29</v>
      </c>
      <c r="I20" s="17">
        <v>46</v>
      </c>
      <c r="J20" s="16">
        <v>12</v>
      </c>
      <c r="K20" s="14">
        <v>4</v>
      </c>
      <c r="L20" s="14">
        <v>1</v>
      </c>
      <c r="M20" s="14">
        <v>7</v>
      </c>
      <c r="N20" s="14">
        <v>14</v>
      </c>
      <c r="O20" s="17">
        <v>18</v>
      </c>
      <c r="P20" s="16">
        <v>13</v>
      </c>
      <c r="Q20" s="14">
        <v>1</v>
      </c>
      <c r="R20" s="14">
        <v>6</v>
      </c>
      <c r="S20" s="14">
        <v>6</v>
      </c>
      <c r="T20" s="14">
        <v>15</v>
      </c>
      <c r="U20" s="17">
        <v>28</v>
      </c>
      <c r="V20" s="14">
        <v>-17</v>
      </c>
      <c r="W20" s="2">
        <v>22</v>
      </c>
    </row>
    <row r="21" spans="1:23" ht="16" x14ac:dyDescent="0.2">
      <c r="A21" s="7">
        <v>19</v>
      </c>
      <c r="B21" s="8"/>
      <c r="C21" s="9" t="s">
        <v>34</v>
      </c>
      <c r="D21" s="10">
        <v>25</v>
      </c>
      <c r="E21" s="8">
        <v>4</v>
      </c>
      <c r="F21" s="8">
        <v>4</v>
      </c>
      <c r="G21" s="8">
        <v>17</v>
      </c>
      <c r="H21" s="8">
        <v>22</v>
      </c>
      <c r="I21" s="11">
        <v>46</v>
      </c>
      <c r="J21" s="10">
        <v>13</v>
      </c>
      <c r="K21" s="8">
        <v>1</v>
      </c>
      <c r="L21" s="8">
        <v>3</v>
      </c>
      <c r="M21" s="8">
        <v>9</v>
      </c>
      <c r="N21" s="8">
        <v>13</v>
      </c>
      <c r="O21" s="11">
        <v>25</v>
      </c>
      <c r="P21" s="10">
        <v>12</v>
      </c>
      <c r="Q21" s="8">
        <v>3</v>
      </c>
      <c r="R21" s="8">
        <v>1</v>
      </c>
      <c r="S21" s="8">
        <v>8</v>
      </c>
      <c r="T21" s="8">
        <v>9</v>
      </c>
      <c r="U21" s="11">
        <v>21</v>
      </c>
      <c r="V21" s="8">
        <v>-24</v>
      </c>
      <c r="W21" s="12">
        <v>16</v>
      </c>
    </row>
    <row r="22" spans="1:23" ht="16" x14ac:dyDescent="0.2">
      <c r="A22" s="13">
        <v>20</v>
      </c>
      <c r="B22" s="14"/>
      <c r="C22" s="15" t="s">
        <v>35</v>
      </c>
      <c r="D22" s="16">
        <v>25</v>
      </c>
      <c r="E22" s="14">
        <v>4</v>
      </c>
      <c r="F22" s="14">
        <v>3</v>
      </c>
      <c r="G22" s="14">
        <v>18</v>
      </c>
      <c r="H22" s="14">
        <v>19</v>
      </c>
      <c r="I22" s="17">
        <v>44</v>
      </c>
      <c r="J22" s="16">
        <v>12</v>
      </c>
      <c r="K22" s="14">
        <v>2</v>
      </c>
      <c r="L22" s="14">
        <v>2</v>
      </c>
      <c r="M22" s="14">
        <v>8</v>
      </c>
      <c r="N22" s="14">
        <v>11</v>
      </c>
      <c r="O22" s="17">
        <v>20</v>
      </c>
      <c r="P22" s="16">
        <v>13</v>
      </c>
      <c r="Q22" s="14">
        <v>2</v>
      </c>
      <c r="R22" s="14">
        <v>1</v>
      </c>
      <c r="S22" s="14">
        <v>10</v>
      </c>
      <c r="T22" s="14">
        <v>8</v>
      </c>
      <c r="U22" s="17">
        <v>24</v>
      </c>
      <c r="V22" s="14">
        <v>-25</v>
      </c>
      <c r="W22" s="2">
        <v>15</v>
      </c>
    </row>
  </sheetData>
  <mergeCells count="2">
    <mergeCell ref="G1:L1"/>
    <mergeCell ref="M1:R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65324-1468-7A40-BE2A-B6E191194395}">
  <sheetPr codeName="Sheet2"/>
  <dimension ref="A1"/>
  <sheetViews>
    <sheetView workbookViewId="0">
      <selection activeCell="F8" sqref="F8"/>
    </sheetView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A62AE-1B30-4C66-8716-47DA07459011}">
  <sheetPr codeName="Sheet3"/>
  <dimension ref="A1:AD28"/>
  <sheetViews>
    <sheetView topLeftCell="A12" workbookViewId="0">
      <selection activeCell="V28" sqref="V28"/>
    </sheetView>
  </sheetViews>
  <sheetFormatPr baseColWidth="10" defaultColWidth="8.83203125" defaultRowHeight="15" x14ac:dyDescent="0.2"/>
  <sheetData>
    <row r="1" spans="1:30" x14ac:dyDescent="0.2">
      <c r="K1" t="s">
        <v>37</v>
      </c>
      <c r="P1" t="s">
        <v>38</v>
      </c>
    </row>
    <row r="2" spans="1:30" ht="64" x14ac:dyDescent="0.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2</v>
      </c>
      <c r="I2" t="s">
        <v>3</v>
      </c>
      <c r="J2" t="s">
        <v>4</v>
      </c>
      <c r="K2" t="s">
        <v>5</v>
      </c>
      <c r="L2" t="s">
        <v>6</v>
      </c>
      <c r="M2" t="s">
        <v>7</v>
      </c>
      <c r="N2" t="s">
        <v>2</v>
      </c>
      <c r="O2" t="s">
        <v>3</v>
      </c>
      <c r="P2" t="s">
        <v>4</v>
      </c>
      <c r="Q2" t="s">
        <v>5</v>
      </c>
      <c r="R2" t="s">
        <v>6</v>
      </c>
      <c r="S2" t="s">
        <v>7</v>
      </c>
      <c r="T2" t="s">
        <v>4</v>
      </c>
      <c r="U2" t="s">
        <v>8</v>
      </c>
      <c r="V2" s="18" t="s">
        <v>39</v>
      </c>
      <c r="W2" s="18" t="s">
        <v>72</v>
      </c>
      <c r="X2" s="18" t="s">
        <v>40</v>
      </c>
      <c r="Y2" s="18" t="s">
        <v>41</v>
      </c>
      <c r="Z2" s="18" t="s">
        <v>42</v>
      </c>
      <c r="AA2" s="18" t="s">
        <v>43</v>
      </c>
      <c r="AB2" s="18" t="s">
        <v>44</v>
      </c>
      <c r="AC2" s="18" t="s">
        <v>45</v>
      </c>
      <c r="AD2" s="18"/>
    </row>
    <row r="3" spans="1:30" x14ac:dyDescent="0.2">
      <c r="A3" t="s">
        <v>10</v>
      </c>
      <c r="B3">
        <v>26</v>
      </c>
      <c r="C3">
        <v>19</v>
      </c>
      <c r="D3">
        <v>5</v>
      </c>
      <c r="E3">
        <v>2</v>
      </c>
      <c r="F3">
        <v>60</v>
      </c>
      <c r="G3">
        <v>23</v>
      </c>
      <c r="H3">
        <v>14</v>
      </c>
      <c r="I3">
        <v>11</v>
      </c>
      <c r="J3">
        <v>3</v>
      </c>
      <c r="K3">
        <v>0</v>
      </c>
      <c r="L3">
        <v>39</v>
      </c>
      <c r="M3">
        <v>10</v>
      </c>
      <c r="N3">
        <v>12</v>
      </c>
      <c r="O3">
        <v>8</v>
      </c>
      <c r="P3">
        <v>2</v>
      </c>
      <c r="Q3">
        <v>2</v>
      </c>
      <c r="R3">
        <v>21</v>
      </c>
      <c r="S3">
        <v>13</v>
      </c>
      <c r="T3">
        <v>37</v>
      </c>
      <c r="U3">
        <v>62</v>
      </c>
      <c r="V3">
        <f>L3/H3</f>
        <v>2.7857142857142856</v>
      </c>
      <c r="W3">
        <f>M3/H3</f>
        <v>0.7142857142857143</v>
      </c>
      <c r="X3">
        <f>R3/N3</f>
        <v>1.75</v>
      </c>
      <c r="Y3">
        <f>S3/N3</f>
        <v>1.0833333333333333</v>
      </c>
      <c r="Z3">
        <f>V3/$C$25</f>
        <v>1.8042190969652108</v>
      </c>
      <c r="AA3">
        <f>W3/$D$25</f>
        <v>0.51313628899835806</v>
      </c>
      <c r="AB3">
        <f>X3/$C$26</f>
        <v>1.257183908045977</v>
      </c>
      <c r="AC3">
        <f>Y3/$D$26</f>
        <v>0.70164075993091535</v>
      </c>
    </row>
    <row r="4" spans="1:30" x14ac:dyDescent="0.2">
      <c r="A4" t="s">
        <v>12</v>
      </c>
      <c r="B4">
        <v>25</v>
      </c>
      <c r="C4">
        <v>19</v>
      </c>
      <c r="D4">
        <v>3</v>
      </c>
      <c r="E4">
        <v>3</v>
      </c>
      <c r="F4">
        <v>48</v>
      </c>
      <c r="G4">
        <v>24</v>
      </c>
      <c r="H4">
        <v>12</v>
      </c>
      <c r="I4">
        <v>11</v>
      </c>
      <c r="J4">
        <v>1</v>
      </c>
      <c r="K4">
        <v>0</v>
      </c>
      <c r="L4">
        <v>29</v>
      </c>
      <c r="M4">
        <v>10</v>
      </c>
      <c r="N4">
        <v>13</v>
      </c>
      <c r="O4">
        <v>8</v>
      </c>
      <c r="P4">
        <v>2</v>
      </c>
      <c r="Q4">
        <v>3</v>
      </c>
      <c r="R4">
        <v>19</v>
      </c>
      <c r="S4">
        <v>14</v>
      </c>
      <c r="T4">
        <v>24</v>
      </c>
      <c r="U4">
        <v>60</v>
      </c>
      <c r="V4">
        <f t="shared" ref="V4:V22" si="0">L4/H4</f>
        <v>2.4166666666666665</v>
      </c>
      <c r="W4">
        <f t="shared" ref="W4:W22" si="1">M4/H4</f>
        <v>0.83333333333333337</v>
      </c>
      <c r="X4">
        <f t="shared" ref="X4:X22" si="2">R4/N4</f>
        <v>1.4615384615384615</v>
      </c>
      <c r="Y4">
        <f t="shared" ref="Y4:Y22" si="3">S4/N4</f>
        <v>1.0769230769230769</v>
      </c>
      <c r="Z4">
        <f t="shared" ref="Z4:Z22" si="4">V4/$C$25</f>
        <v>1.5651986183074265</v>
      </c>
      <c r="AA4">
        <f t="shared" ref="AA4:AA22" si="5">W4/$D$25</f>
        <v>0.59865900383141768</v>
      </c>
      <c r="AB4">
        <f t="shared" ref="AB4:AB22" si="6">X4/$C$26</f>
        <v>1.0499557913351016</v>
      </c>
      <c r="AC4">
        <f t="shared" ref="AC4:AC22" si="7">Y4/$D$26</f>
        <v>0.69748903945795138</v>
      </c>
    </row>
    <row r="5" spans="1:30" x14ac:dyDescent="0.2">
      <c r="A5" t="s">
        <v>13</v>
      </c>
      <c r="B5">
        <v>24</v>
      </c>
      <c r="C5">
        <v>16</v>
      </c>
      <c r="D5">
        <v>6</v>
      </c>
      <c r="E5">
        <v>2</v>
      </c>
      <c r="F5">
        <v>49</v>
      </c>
      <c r="G5">
        <v>22</v>
      </c>
      <c r="H5">
        <v>12</v>
      </c>
      <c r="I5">
        <v>7</v>
      </c>
      <c r="J5">
        <v>4</v>
      </c>
      <c r="K5">
        <v>1</v>
      </c>
      <c r="L5">
        <v>23</v>
      </c>
      <c r="M5">
        <v>10</v>
      </c>
      <c r="N5">
        <v>12</v>
      </c>
      <c r="O5">
        <v>9</v>
      </c>
      <c r="P5">
        <v>2</v>
      </c>
      <c r="Q5">
        <v>1</v>
      </c>
      <c r="R5">
        <v>26</v>
      </c>
      <c r="S5">
        <v>12</v>
      </c>
      <c r="T5">
        <v>27</v>
      </c>
      <c r="U5">
        <v>54</v>
      </c>
      <c r="V5">
        <f t="shared" si="0"/>
        <v>1.9166666666666667</v>
      </c>
      <c r="W5">
        <f t="shared" si="1"/>
        <v>0.83333333333333337</v>
      </c>
      <c r="X5">
        <f t="shared" si="2"/>
        <v>2.1666666666666665</v>
      </c>
      <c r="Y5">
        <f t="shared" si="3"/>
        <v>1</v>
      </c>
      <c r="Z5">
        <f t="shared" si="4"/>
        <v>1.2413644214162349</v>
      </c>
      <c r="AA5">
        <f t="shared" si="5"/>
        <v>0.59865900383141768</v>
      </c>
      <c r="AB5">
        <f t="shared" si="6"/>
        <v>1.5565134099616857</v>
      </c>
      <c r="AC5">
        <f t="shared" si="7"/>
        <v>0.64766839378238339</v>
      </c>
    </row>
    <row r="6" spans="1:30" x14ac:dyDescent="0.2">
      <c r="A6" t="s">
        <v>14</v>
      </c>
      <c r="B6">
        <v>25</v>
      </c>
      <c r="C6">
        <v>14</v>
      </c>
      <c r="D6">
        <v>6</v>
      </c>
      <c r="E6">
        <v>5</v>
      </c>
      <c r="F6">
        <v>70</v>
      </c>
      <c r="G6">
        <v>34</v>
      </c>
      <c r="H6">
        <v>12</v>
      </c>
      <c r="I6">
        <v>6</v>
      </c>
      <c r="J6">
        <v>2</v>
      </c>
      <c r="K6">
        <v>4</v>
      </c>
      <c r="L6">
        <v>33</v>
      </c>
      <c r="M6">
        <v>19</v>
      </c>
      <c r="N6">
        <v>13</v>
      </c>
      <c r="O6">
        <v>8</v>
      </c>
      <c r="P6">
        <v>4</v>
      </c>
      <c r="Q6">
        <v>1</v>
      </c>
      <c r="R6">
        <v>37</v>
      </c>
      <c r="S6">
        <v>15</v>
      </c>
      <c r="T6">
        <v>36</v>
      </c>
      <c r="U6">
        <v>48</v>
      </c>
      <c r="V6">
        <f t="shared" si="0"/>
        <v>2.75</v>
      </c>
      <c r="W6">
        <f t="shared" si="1"/>
        <v>1.5833333333333333</v>
      </c>
      <c r="X6">
        <f t="shared" si="2"/>
        <v>2.8461538461538463</v>
      </c>
      <c r="Y6">
        <f t="shared" si="3"/>
        <v>1.1538461538461537</v>
      </c>
      <c r="Z6">
        <f t="shared" si="4"/>
        <v>1.7810880829015543</v>
      </c>
      <c r="AA6">
        <f t="shared" si="5"/>
        <v>1.1374521072796935</v>
      </c>
      <c r="AB6">
        <f t="shared" si="6"/>
        <v>2.0446507515473034</v>
      </c>
      <c r="AC6">
        <f t="shared" si="7"/>
        <v>0.74730968513351925</v>
      </c>
    </row>
    <row r="7" spans="1:30" x14ac:dyDescent="0.2">
      <c r="A7" t="s">
        <v>15</v>
      </c>
      <c r="B7">
        <v>26</v>
      </c>
      <c r="C7">
        <v>13</v>
      </c>
      <c r="D7">
        <v>6</v>
      </c>
      <c r="E7">
        <v>7</v>
      </c>
      <c r="F7">
        <v>51</v>
      </c>
      <c r="G7">
        <v>35</v>
      </c>
      <c r="H7">
        <v>13</v>
      </c>
      <c r="I7">
        <v>6</v>
      </c>
      <c r="J7">
        <v>3</v>
      </c>
      <c r="K7">
        <v>4</v>
      </c>
      <c r="L7">
        <v>26</v>
      </c>
      <c r="M7">
        <v>19</v>
      </c>
      <c r="N7">
        <v>13</v>
      </c>
      <c r="O7">
        <v>7</v>
      </c>
      <c r="P7">
        <v>3</v>
      </c>
      <c r="Q7">
        <v>3</v>
      </c>
      <c r="R7">
        <v>25</v>
      </c>
      <c r="S7">
        <v>16</v>
      </c>
      <c r="T7">
        <v>16</v>
      </c>
      <c r="U7">
        <v>45</v>
      </c>
      <c r="V7">
        <f t="shared" si="0"/>
        <v>2</v>
      </c>
      <c r="W7">
        <f t="shared" si="1"/>
        <v>1.4615384615384615</v>
      </c>
      <c r="X7">
        <f t="shared" si="2"/>
        <v>1.9230769230769231</v>
      </c>
      <c r="Y7">
        <f t="shared" si="3"/>
        <v>1.2307692307692308</v>
      </c>
      <c r="Z7">
        <f t="shared" si="4"/>
        <v>1.2953367875647668</v>
      </c>
      <c r="AA7">
        <f t="shared" si="5"/>
        <v>1.0499557913351016</v>
      </c>
      <c r="AB7">
        <f t="shared" si="6"/>
        <v>1.3815207780725023</v>
      </c>
      <c r="AC7">
        <f t="shared" si="7"/>
        <v>0.79713033080908735</v>
      </c>
    </row>
    <row r="8" spans="1:30" x14ac:dyDescent="0.2">
      <c r="A8" t="s">
        <v>16</v>
      </c>
      <c r="B8">
        <v>26</v>
      </c>
      <c r="C8">
        <v>11</v>
      </c>
      <c r="D8">
        <v>6</v>
      </c>
      <c r="E8">
        <v>9</v>
      </c>
      <c r="F8">
        <v>41</v>
      </c>
      <c r="G8">
        <v>36</v>
      </c>
      <c r="H8">
        <v>13</v>
      </c>
      <c r="I8">
        <v>5</v>
      </c>
      <c r="J8">
        <v>2</v>
      </c>
      <c r="K8">
        <v>6</v>
      </c>
      <c r="L8">
        <v>17</v>
      </c>
      <c r="M8">
        <v>18</v>
      </c>
      <c r="N8">
        <v>13</v>
      </c>
      <c r="O8">
        <v>6</v>
      </c>
      <c r="P8">
        <v>4</v>
      </c>
      <c r="Q8">
        <v>3</v>
      </c>
      <c r="R8">
        <v>24</v>
      </c>
      <c r="S8">
        <v>18</v>
      </c>
      <c r="T8">
        <v>5</v>
      </c>
      <c r="U8">
        <v>39</v>
      </c>
      <c r="V8">
        <f t="shared" si="0"/>
        <v>1.3076923076923077</v>
      </c>
      <c r="W8">
        <f t="shared" si="1"/>
        <v>1.3846153846153846</v>
      </c>
      <c r="X8">
        <f t="shared" si="2"/>
        <v>1.8461538461538463</v>
      </c>
      <c r="Y8">
        <f t="shared" si="3"/>
        <v>1.3846153846153846</v>
      </c>
      <c r="Z8">
        <f t="shared" si="4"/>
        <v>0.84695097648465523</v>
      </c>
      <c r="AA8">
        <f t="shared" si="5"/>
        <v>0.99469496021220161</v>
      </c>
      <c r="AB8">
        <f t="shared" si="6"/>
        <v>1.3262599469496024</v>
      </c>
      <c r="AC8">
        <f t="shared" si="7"/>
        <v>0.8967716221602231</v>
      </c>
    </row>
    <row r="9" spans="1:30" x14ac:dyDescent="0.2">
      <c r="A9" t="s">
        <v>18</v>
      </c>
      <c r="B9">
        <v>25</v>
      </c>
      <c r="C9">
        <v>10</v>
      </c>
      <c r="D9">
        <v>6</v>
      </c>
      <c r="E9">
        <v>9</v>
      </c>
      <c r="F9">
        <v>27</v>
      </c>
      <c r="G9">
        <v>32</v>
      </c>
      <c r="H9">
        <v>12</v>
      </c>
      <c r="I9">
        <v>4</v>
      </c>
      <c r="J9">
        <v>5</v>
      </c>
      <c r="K9">
        <v>3</v>
      </c>
      <c r="L9">
        <v>12</v>
      </c>
      <c r="M9">
        <v>13</v>
      </c>
      <c r="N9">
        <v>13</v>
      </c>
      <c r="O9">
        <v>6</v>
      </c>
      <c r="P9">
        <v>1</v>
      </c>
      <c r="Q9">
        <v>6</v>
      </c>
      <c r="R9">
        <v>15</v>
      </c>
      <c r="S9">
        <v>19</v>
      </c>
      <c r="T9">
        <v>-5</v>
      </c>
      <c r="U9">
        <v>36</v>
      </c>
      <c r="V9">
        <f t="shared" si="0"/>
        <v>1</v>
      </c>
      <c r="W9">
        <f t="shared" si="1"/>
        <v>1.0833333333333333</v>
      </c>
      <c r="X9">
        <f t="shared" si="2"/>
        <v>1.1538461538461537</v>
      </c>
      <c r="Y9">
        <f t="shared" si="3"/>
        <v>1.4615384615384615</v>
      </c>
      <c r="Z9">
        <f t="shared" si="4"/>
        <v>0.64766839378238339</v>
      </c>
      <c r="AA9">
        <f t="shared" si="5"/>
        <v>0.77825670498084287</v>
      </c>
      <c r="AB9">
        <f t="shared" si="6"/>
        <v>0.82891246684350128</v>
      </c>
      <c r="AC9">
        <f t="shared" si="7"/>
        <v>0.94659226783579109</v>
      </c>
    </row>
    <row r="10" spans="1:30" x14ac:dyDescent="0.2">
      <c r="A10" t="s">
        <v>20</v>
      </c>
      <c r="B10">
        <v>24</v>
      </c>
      <c r="C10">
        <v>9</v>
      </c>
      <c r="D10">
        <v>8</v>
      </c>
      <c r="E10">
        <v>7</v>
      </c>
      <c r="F10">
        <v>28</v>
      </c>
      <c r="G10">
        <v>24</v>
      </c>
      <c r="H10">
        <v>12</v>
      </c>
      <c r="I10">
        <v>6</v>
      </c>
      <c r="J10">
        <v>3</v>
      </c>
      <c r="K10">
        <v>3</v>
      </c>
      <c r="L10">
        <v>17</v>
      </c>
      <c r="M10">
        <v>12</v>
      </c>
      <c r="N10">
        <v>12</v>
      </c>
      <c r="O10">
        <v>3</v>
      </c>
      <c r="P10">
        <v>5</v>
      </c>
      <c r="Q10">
        <v>4</v>
      </c>
      <c r="R10">
        <v>11</v>
      </c>
      <c r="S10">
        <v>12</v>
      </c>
      <c r="T10">
        <v>4</v>
      </c>
      <c r="U10">
        <v>35</v>
      </c>
      <c r="V10">
        <f t="shared" si="0"/>
        <v>1.4166666666666667</v>
      </c>
      <c r="W10">
        <f t="shared" si="1"/>
        <v>1</v>
      </c>
      <c r="X10">
        <f t="shared" si="2"/>
        <v>0.91666666666666663</v>
      </c>
      <c r="Y10">
        <f t="shared" si="3"/>
        <v>1</v>
      </c>
      <c r="Z10">
        <f t="shared" si="4"/>
        <v>0.91753022452504318</v>
      </c>
      <c r="AA10">
        <f t="shared" si="5"/>
        <v>0.71839080459770122</v>
      </c>
      <c r="AB10">
        <f t="shared" si="6"/>
        <v>0.65852490421455945</v>
      </c>
      <c r="AC10">
        <f t="shared" si="7"/>
        <v>0.64766839378238339</v>
      </c>
    </row>
    <row r="11" spans="1:30" x14ac:dyDescent="0.2">
      <c r="A11" t="s">
        <v>22</v>
      </c>
      <c r="B11">
        <v>24</v>
      </c>
      <c r="C11">
        <v>10</v>
      </c>
      <c r="D11">
        <v>5</v>
      </c>
      <c r="E11">
        <v>9</v>
      </c>
      <c r="F11">
        <v>32</v>
      </c>
      <c r="G11">
        <v>30</v>
      </c>
      <c r="H11">
        <v>12</v>
      </c>
      <c r="I11">
        <v>6</v>
      </c>
      <c r="J11">
        <v>1</v>
      </c>
      <c r="K11">
        <v>5</v>
      </c>
      <c r="L11">
        <v>17</v>
      </c>
      <c r="M11">
        <v>11</v>
      </c>
      <c r="N11">
        <v>12</v>
      </c>
      <c r="O11">
        <v>4</v>
      </c>
      <c r="P11">
        <v>4</v>
      </c>
      <c r="Q11">
        <v>4</v>
      </c>
      <c r="R11">
        <v>15</v>
      </c>
      <c r="S11">
        <v>19</v>
      </c>
      <c r="T11">
        <v>2</v>
      </c>
      <c r="U11">
        <v>35</v>
      </c>
      <c r="V11">
        <f t="shared" si="0"/>
        <v>1.4166666666666667</v>
      </c>
      <c r="W11">
        <f t="shared" si="1"/>
        <v>0.91666666666666663</v>
      </c>
      <c r="X11">
        <f t="shared" si="2"/>
        <v>1.25</v>
      </c>
      <c r="Y11">
        <f t="shared" si="3"/>
        <v>1.5833333333333333</v>
      </c>
      <c r="Z11">
        <f t="shared" si="4"/>
        <v>0.91753022452504318</v>
      </c>
      <c r="AA11">
        <f t="shared" si="5"/>
        <v>0.65852490421455945</v>
      </c>
      <c r="AB11">
        <f t="shared" si="6"/>
        <v>0.89798850574712652</v>
      </c>
      <c r="AC11">
        <f t="shared" si="7"/>
        <v>1.0254749568221071</v>
      </c>
    </row>
    <row r="12" spans="1:30" x14ac:dyDescent="0.2">
      <c r="A12" t="s">
        <v>23</v>
      </c>
      <c r="B12">
        <v>26</v>
      </c>
      <c r="C12">
        <v>9</v>
      </c>
      <c r="D12">
        <v>7</v>
      </c>
      <c r="E12">
        <v>10</v>
      </c>
      <c r="F12">
        <v>38</v>
      </c>
      <c r="G12">
        <v>42</v>
      </c>
      <c r="H12">
        <v>13</v>
      </c>
      <c r="I12">
        <v>4</v>
      </c>
      <c r="J12">
        <v>5</v>
      </c>
      <c r="K12">
        <v>4</v>
      </c>
      <c r="L12">
        <v>18</v>
      </c>
      <c r="M12">
        <v>20</v>
      </c>
      <c r="N12">
        <v>13</v>
      </c>
      <c r="O12">
        <v>5</v>
      </c>
      <c r="P12">
        <v>2</v>
      </c>
      <c r="Q12">
        <v>6</v>
      </c>
      <c r="R12">
        <v>20</v>
      </c>
      <c r="S12">
        <v>22</v>
      </c>
      <c r="T12">
        <v>-4</v>
      </c>
      <c r="U12">
        <v>34</v>
      </c>
      <c r="V12">
        <f t="shared" si="0"/>
        <v>1.3846153846153846</v>
      </c>
      <c r="W12">
        <f t="shared" si="1"/>
        <v>1.5384615384615385</v>
      </c>
      <c r="X12">
        <f t="shared" si="2"/>
        <v>1.5384615384615385</v>
      </c>
      <c r="Y12">
        <f t="shared" si="3"/>
        <v>1.6923076923076923</v>
      </c>
      <c r="Z12">
        <f t="shared" si="4"/>
        <v>0.8967716221602231</v>
      </c>
      <c r="AA12">
        <f t="shared" si="5"/>
        <v>1.105216622458002</v>
      </c>
      <c r="AB12">
        <f t="shared" si="6"/>
        <v>1.105216622458002</v>
      </c>
      <c r="AC12">
        <f t="shared" si="7"/>
        <v>1.0960542048624951</v>
      </c>
    </row>
    <row r="13" spans="1:30" x14ac:dyDescent="0.2">
      <c r="A13" t="s">
        <v>24</v>
      </c>
      <c r="B13">
        <v>25</v>
      </c>
      <c r="C13">
        <v>8</v>
      </c>
      <c r="D13">
        <v>8</v>
      </c>
      <c r="E13">
        <v>9</v>
      </c>
      <c r="F13">
        <v>41</v>
      </c>
      <c r="G13">
        <v>40</v>
      </c>
      <c r="H13">
        <v>13</v>
      </c>
      <c r="I13">
        <v>5</v>
      </c>
      <c r="J13">
        <v>2</v>
      </c>
      <c r="K13">
        <v>6</v>
      </c>
      <c r="L13">
        <v>25</v>
      </c>
      <c r="M13">
        <v>23</v>
      </c>
      <c r="N13">
        <v>12</v>
      </c>
      <c r="O13">
        <v>3</v>
      </c>
      <c r="P13">
        <v>6</v>
      </c>
      <c r="Q13">
        <v>3</v>
      </c>
      <c r="R13">
        <v>16</v>
      </c>
      <c r="S13">
        <v>17</v>
      </c>
      <c r="T13">
        <v>1</v>
      </c>
      <c r="U13">
        <v>32</v>
      </c>
      <c r="V13">
        <f t="shared" si="0"/>
        <v>1.9230769230769231</v>
      </c>
      <c r="W13">
        <f t="shared" si="1"/>
        <v>1.7692307692307692</v>
      </c>
      <c r="X13">
        <f t="shared" si="2"/>
        <v>1.3333333333333333</v>
      </c>
      <c r="Y13">
        <f t="shared" si="3"/>
        <v>1.4166666666666667</v>
      </c>
      <c r="Z13">
        <f t="shared" si="4"/>
        <v>1.2455161418891989</v>
      </c>
      <c r="AA13">
        <f t="shared" si="5"/>
        <v>1.270999115826702</v>
      </c>
      <c r="AB13">
        <f t="shared" si="6"/>
        <v>0.95785440613026818</v>
      </c>
      <c r="AC13">
        <f t="shared" si="7"/>
        <v>0.91753022452504318</v>
      </c>
    </row>
    <row r="14" spans="1:30" x14ac:dyDescent="0.2">
      <c r="A14" t="s">
        <v>25</v>
      </c>
      <c r="B14">
        <v>24</v>
      </c>
      <c r="C14">
        <v>8</v>
      </c>
      <c r="D14">
        <v>5</v>
      </c>
      <c r="E14">
        <v>11</v>
      </c>
      <c r="F14">
        <v>38</v>
      </c>
      <c r="G14">
        <v>39</v>
      </c>
      <c r="H14">
        <v>12</v>
      </c>
      <c r="I14">
        <v>5</v>
      </c>
      <c r="J14">
        <v>1</v>
      </c>
      <c r="K14">
        <v>6</v>
      </c>
      <c r="L14">
        <v>25</v>
      </c>
      <c r="M14">
        <v>22</v>
      </c>
      <c r="N14">
        <v>12</v>
      </c>
      <c r="O14">
        <v>3</v>
      </c>
      <c r="P14">
        <v>4</v>
      </c>
      <c r="Q14">
        <v>5</v>
      </c>
      <c r="R14">
        <v>13</v>
      </c>
      <c r="S14">
        <v>17</v>
      </c>
      <c r="T14">
        <v>-1</v>
      </c>
      <c r="U14">
        <v>29</v>
      </c>
      <c r="V14">
        <f t="shared" si="0"/>
        <v>2.0833333333333335</v>
      </c>
      <c r="W14">
        <f t="shared" si="1"/>
        <v>1.8333333333333333</v>
      </c>
      <c r="X14">
        <f t="shared" si="2"/>
        <v>1.0833333333333333</v>
      </c>
      <c r="Y14">
        <f t="shared" si="3"/>
        <v>1.4166666666666667</v>
      </c>
      <c r="Z14">
        <f t="shared" si="4"/>
        <v>1.3493091537132988</v>
      </c>
      <c r="AA14">
        <f t="shared" si="5"/>
        <v>1.3170498084291189</v>
      </c>
      <c r="AB14">
        <f t="shared" si="6"/>
        <v>0.77825670498084287</v>
      </c>
      <c r="AC14">
        <f t="shared" si="7"/>
        <v>0.91753022452504318</v>
      </c>
    </row>
    <row r="15" spans="1:30" x14ac:dyDescent="0.2">
      <c r="A15" t="s">
        <v>26</v>
      </c>
      <c r="B15">
        <v>25</v>
      </c>
      <c r="C15">
        <v>7</v>
      </c>
      <c r="D15">
        <v>8</v>
      </c>
      <c r="E15">
        <v>10</v>
      </c>
      <c r="F15">
        <v>32</v>
      </c>
      <c r="G15">
        <v>36</v>
      </c>
      <c r="H15">
        <v>13</v>
      </c>
      <c r="I15">
        <v>3</v>
      </c>
      <c r="J15">
        <v>5</v>
      </c>
      <c r="K15">
        <v>5</v>
      </c>
      <c r="L15">
        <v>13</v>
      </c>
      <c r="M15">
        <v>17</v>
      </c>
      <c r="N15">
        <v>12</v>
      </c>
      <c r="O15">
        <v>4</v>
      </c>
      <c r="P15">
        <v>3</v>
      </c>
      <c r="Q15">
        <v>5</v>
      </c>
      <c r="R15">
        <v>19</v>
      </c>
      <c r="S15">
        <v>19</v>
      </c>
      <c r="T15">
        <v>-4</v>
      </c>
      <c r="U15">
        <v>29</v>
      </c>
      <c r="V15">
        <f t="shared" si="0"/>
        <v>1</v>
      </c>
      <c r="W15">
        <f t="shared" si="1"/>
        <v>1.3076923076923077</v>
      </c>
      <c r="X15">
        <f t="shared" si="2"/>
        <v>1.5833333333333333</v>
      </c>
      <c r="Y15">
        <f t="shared" si="3"/>
        <v>1.5833333333333333</v>
      </c>
      <c r="Z15">
        <f t="shared" si="4"/>
        <v>0.64766839378238339</v>
      </c>
      <c r="AA15">
        <f t="shared" si="5"/>
        <v>0.93943412908930157</v>
      </c>
      <c r="AB15">
        <f t="shared" si="6"/>
        <v>1.1374521072796935</v>
      </c>
      <c r="AC15">
        <f t="shared" si="7"/>
        <v>1.0254749568221071</v>
      </c>
    </row>
    <row r="16" spans="1:30" x14ac:dyDescent="0.2">
      <c r="A16" t="s">
        <v>28</v>
      </c>
      <c r="B16">
        <v>25</v>
      </c>
      <c r="C16">
        <v>7</v>
      </c>
      <c r="D16">
        <v>6</v>
      </c>
      <c r="E16">
        <v>12</v>
      </c>
      <c r="F16">
        <v>21</v>
      </c>
      <c r="G16">
        <v>37</v>
      </c>
      <c r="H16">
        <v>12</v>
      </c>
      <c r="I16">
        <v>5</v>
      </c>
      <c r="J16">
        <v>3</v>
      </c>
      <c r="K16">
        <v>4</v>
      </c>
      <c r="L16">
        <v>10</v>
      </c>
      <c r="M16">
        <v>12</v>
      </c>
      <c r="N16">
        <v>13</v>
      </c>
      <c r="O16">
        <v>2</v>
      </c>
      <c r="P16">
        <v>3</v>
      </c>
      <c r="Q16">
        <v>8</v>
      </c>
      <c r="R16">
        <v>11</v>
      </c>
      <c r="S16">
        <v>25</v>
      </c>
      <c r="T16">
        <v>-16</v>
      </c>
      <c r="U16">
        <v>27</v>
      </c>
      <c r="V16">
        <f t="shared" si="0"/>
        <v>0.83333333333333337</v>
      </c>
      <c r="W16">
        <f t="shared" si="1"/>
        <v>1</v>
      </c>
      <c r="X16">
        <f t="shared" si="2"/>
        <v>0.84615384615384615</v>
      </c>
      <c r="Y16">
        <f t="shared" si="3"/>
        <v>1.9230769230769231</v>
      </c>
      <c r="Z16">
        <f t="shared" si="4"/>
        <v>0.53972366148531947</v>
      </c>
      <c r="AA16">
        <f t="shared" si="5"/>
        <v>0.71839080459770122</v>
      </c>
      <c r="AB16">
        <f t="shared" si="6"/>
        <v>0.60786914235190104</v>
      </c>
      <c r="AC16">
        <f t="shared" si="7"/>
        <v>1.2455161418891989</v>
      </c>
    </row>
    <row r="17" spans="1:29" x14ac:dyDescent="0.2">
      <c r="A17" t="s">
        <v>30</v>
      </c>
      <c r="B17">
        <v>25</v>
      </c>
      <c r="C17">
        <v>8</v>
      </c>
      <c r="D17">
        <v>3</v>
      </c>
      <c r="E17">
        <v>14</v>
      </c>
      <c r="F17">
        <v>28</v>
      </c>
      <c r="G17">
        <v>45</v>
      </c>
      <c r="H17">
        <v>12</v>
      </c>
      <c r="I17">
        <v>4</v>
      </c>
      <c r="J17">
        <v>2</v>
      </c>
      <c r="K17">
        <v>6</v>
      </c>
      <c r="L17">
        <v>11</v>
      </c>
      <c r="M17">
        <v>22</v>
      </c>
      <c r="N17">
        <v>13</v>
      </c>
      <c r="O17">
        <v>4</v>
      </c>
      <c r="P17">
        <v>1</v>
      </c>
      <c r="Q17">
        <v>8</v>
      </c>
      <c r="R17">
        <v>17</v>
      </c>
      <c r="S17">
        <v>23</v>
      </c>
      <c r="T17">
        <v>-17</v>
      </c>
      <c r="U17">
        <v>27</v>
      </c>
      <c r="V17">
        <f t="shared" si="0"/>
        <v>0.91666666666666663</v>
      </c>
      <c r="W17">
        <f t="shared" si="1"/>
        <v>1.8333333333333333</v>
      </c>
      <c r="X17">
        <f t="shared" si="2"/>
        <v>1.3076923076923077</v>
      </c>
      <c r="Y17">
        <f t="shared" si="3"/>
        <v>1.7692307692307692</v>
      </c>
      <c r="Z17">
        <f t="shared" si="4"/>
        <v>0.59369602763385143</v>
      </c>
      <c r="AA17">
        <f t="shared" si="5"/>
        <v>1.3170498084291189</v>
      </c>
      <c r="AB17">
        <f t="shared" si="6"/>
        <v>0.93943412908930157</v>
      </c>
      <c r="AC17">
        <f t="shared" si="7"/>
        <v>1.1458748505380629</v>
      </c>
    </row>
    <row r="18" spans="1:29" x14ac:dyDescent="0.2">
      <c r="A18" t="s">
        <v>31</v>
      </c>
      <c r="B18">
        <v>26</v>
      </c>
      <c r="C18">
        <v>6</v>
      </c>
      <c r="D18">
        <v>7</v>
      </c>
      <c r="E18">
        <v>13</v>
      </c>
      <c r="F18">
        <v>34</v>
      </c>
      <c r="G18">
        <v>56</v>
      </c>
      <c r="H18">
        <v>13</v>
      </c>
      <c r="I18">
        <v>2</v>
      </c>
      <c r="J18">
        <v>5</v>
      </c>
      <c r="K18">
        <v>6</v>
      </c>
      <c r="L18">
        <v>19</v>
      </c>
      <c r="M18">
        <v>26</v>
      </c>
      <c r="N18">
        <v>13</v>
      </c>
      <c r="O18">
        <v>4</v>
      </c>
      <c r="P18">
        <v>2</v>
      </c>
      <c r="Q18">
        <v>7</v>
      </c>
      <c r="R18">
        <v>15</v>
      </c>
      <c r="S18">
        <v>30</v>
      </c>
      <c r="T18">
        <v>-22</v>
      </c>
      <c r="U18">
        <v>25</v>
      </c>
      <c r="V18">
        <f t="shared" si="0"/>
        <v>1.4615384615384615</v>
      </c>
      <c r="W18">
        <f t="shared" si="1"/>
        <v>2</v>
      </c>
      <c r="X18">
        <f t="shared" si="2"/>
        <v>1.1538461538461537</v>
      </c>
      <c r="Y18">
        <f t="shared" si="3"/>
        <v>2.3076923076923075</v>
      </c>
      <c r="Z18">
        <f t="shared" si="4"/>
        <v>0.94659226783579109</v>
      </c>
      <c r="AA18">
        <f t="shared" si="5"/>
        <v>1.4367816091954024</v>
      </c>
      <c r="AB18">
        <f t="shared" si="6"/>
        <v>0.82891246684350128</v>
      </c>
      <c r="AC18">
        <f t="shared" si="7"/>
        <v>1.4946193702670385</v>
      </c>
    </row>
    <row r="19" spans="1:29" x14ac:dyDescent="0.2">
      <c r="A19" t="s">
        <v>32</v>
      </c>
      <c r="B19">
        <v>24</v>
      </c>
      <c r="C19">
        <v>6</v>
      </c>
      <c r="D19">
        <v>5</v>
      </c>
      <c r="E19">
        <v>13</v>
      </c>
      <c r="F19">
        <v>26</v>
      </c>
      <c r="G19">
        <v>43</v>
      </c>
      <c r="H19">
        <v>13</v>
      </c>
      <c r="I19">
        <v>3</v>
      </c>
      <c r="J19">
        <v>4</v>
      </c>
      <c r="K19">
        <v>6</v>
      </c>
      <c r="L19">
        <v>14</v>
      </c>
      <c r="M19">
        <v>21</v>
      </c>
      <c r="N19">
        <v>11</v>
      </c>
      <c r="O19">
        <v>3</v>
      </c>
      <c r="P19">
        <v>1</v>
      </c>
      <c r="Q19">
        <v>7</v>
      </c>
      <c r="R19">
        <v>12</v>
      </c>
      <c r="S19">
        <v>22</v>
      </c>
      <c r="T19">
        <v>-17</v>
      </c>
      <c r="U19">
        <v>23</v>
      </c>
      <c r="V19">
        <f t="shared" si="0"/>
        <v>1.0769230769230769</v>
      </c>
      <c r="W19">
        <f t="shared" si="1"/>
        <v>1.6153846153846154</v>
      </c>
      <c r="X19">
        <f t="shared" si="2"/>
        <v>1.0909090909090908</v>
      </c>
      <c r="Y19">
        <f t="shared" si="3"/>
        <v>2</v>
      </c>
      <c r="Z19">
        <f t="shared" si="4"/>
        <v>0.69748903945795138</v>
      </c>
      <c r="AA19">
        <f t="shared" si="5"/>
        <v>1.1604774535809019</v>
      </c>
      <c r="AB19">
        <f t="shared" si="6"/>
        <v>0.78369905956112851</v>
      </c>
      <c r="AC19">
        <f t="shared" si="7"/>
        <v>1.2953367875647668</v>
      </c>
    </row>
    <row r="20" spans="1:29" x14ac:dyDescent="0.2">
      <c r="A20" t="s">
        <v>33</v>
      </c>
      <c r="B20">
        <v>25</v>
      </c>
      <c r="C20">
        <v>5</v>
      </c>
      <c r="D20">
        <v>7</v>
      </c>
      <c r="E20">
        <v>13</v>
      </c>
      <c r="F20">
        <v>29</v>
      </c>
      <c r="G20">
        <v>46</v>
      </c>
      <c r="H20">
        <v>12</v>
      </c>
      <c r="I20">
        <v>4</v>
      </c>
      <c r="J20">
        <v>1</v>
      </c>
      <c r="K20">
        <v>7</v>
      </c>
      <c r="L20">
        <v>14</v>
      </c>
      <c r="M20">
        <v>18</v>
      </c>
      <c r="N20">
        <v>13</v>
      </c>
      <c r="O20">
        <v>1</v>
      </c>
      <c r="P20">
        <v>6</v>
      </c>
      <c r="Q20">
        <v>6</v>
      </c>
      <c r="R20">
        <v>15</v>
      </c>
      <c r="S20">
        <v>28</v>
      </c>
      <c r="T20">
        <v>-17</v>
      </c>
      <c r="U20">
        <v>22</v>
      </c>
      <c r="V20">
        <f t="shared" si="0"/>
        <v>1.1666666666666667</v>
      </c>
      <c r="W20">
        <f t="shared" si="1"/>
        <v>1.5</v>
      </c>
      <c r="X20">
        <f t="shared" si="2"/>
        <v>1.1538461538461537</v>
      </c>
      <c r="Y20">
        <f t="shared" si="3"/>
        <v>2.1538461538461537</v>
      </c>
      <c r="Z20">
        <f t="shared" si="4"/>
        <v>0.75561312607944731</v>
      </c>
      <c r="AA20">
        <f t="shared" si="5"/>
        <v>1.0775862068965518</v>
      </c>
      <c r="AB20">
        <f t="shared" si="6"/>
        <v>0.82891246684350128</v>
      </c>
      <c r="AC20">
        <f t="shared" si="7"/>
        <v>1.3949780789159028</v>
      </c>
    </row>
    <row r="21" spans="1:29" x14ac:dyDescent="0.2">
      <c r="A21" t="s">
        <v>34</v>
      </c>
      <c r="B21">
        <v>25</v>
      </c>
      <c r="C21">
        <v>4</v>
      </c>
      <c r="D21">
        <v>4</v>
      </c>
      <c r="E21">
        <v>17</v>
      </c>
      <c r="F21">
        <v>22</v>
      </c>
      <c r="G21">
        <v>46</v>
      </c>
      <c r="H21">
        <v>13</v>
      </c>
      <c r="I21">
        <v>1</v>
      </c>
      <c r="J21">
        <v>3</v>
      </c>
      <c r="K21">
        <v>9</v>
      </c>
      <c r="L21">
        <v>13</v>
      </c>
      <c r="M21">
        <v>25</v>
      </c>
      <c r="N21">
        <v>12</v>
      </c>
      <c r="O21">
        <v>3</v>
      </c>
      <c r="P21">
        <v>1</v>
      </c>
      <c r="Q21">
        <v>8</v>
      </c>
      <c r="R21">
        <v>9</v>
      </c>
      <c r="S21">
        <v>21</v>
      </c>
      <c r="T21">
        <v>-24</v>
      </c>
      <c r="U21">
        <v>16</v>
      </c>
      <c r="V21">
        <f t="shared" si="0"/>
        <v>1</v>
      </c>
      <c r="W21">
        <f t="shared" si="1"/>
        <v>1.9230769230769231</v>
      </c>
      <c r="X21">
        <f t="shared" si="2"/>
        <v>0.75</v>
      </c>
      <c r="Y21">
        <f t="shared" si="3"/>
        <v>1.75</v>
      </c>
      <c r="Z21">
        <f t="shared" si="4"/>
        <v>0.64766839378238339</v>
      </c>
      <c r="AA21">
        <f t="shared" si="5"/>
        <v>1.3815207780725023</v>
      </c>
      <c r="AB21">
        <f t="shared" si="6"/>
        <v>0.53879310344827591</v>
      </c>
      <c r="AC21">
        <f t="shared" si="7"/>
        <v>1.133419689119171</v>
      </c>
    </row>
    <row r="22" spans="1:29" x14ac:dyDescent="0.2">
      <c r="A22" t="s">
        <v>35</v>
      </c>
      <c r="B22">
        <v>25</v>
      </c>
      <c r="C22">
        <v>4</v>
      </c>
      <c r="D22">
        <v>3</v>
      </c>
      <c r="E22">
        <v>18</v>
      </c>
      <c r="F22">
        <v>19</v>
      </c>
      <c r="G22">
        <v>44</v>
      </c>
      <c r="H22">
        <v>12</v>
      </c>
      <c r="I22">
        <v>2</v>
      </c>
      <c r="J22">
        <v>2</v>
      </c>
      <c r="K22">
        <v>8</v>
      </c>
      <c r="L22">
        <v>11</v>
      </c>
      <c r="M22">
        <v>20</v>
      </c>
      <c r="N22">
        <v>13</v>
      </c>
      <c r="O22">
        <v>2</v>
      </c>
      <c r="P22">
        <v>1</v>
      </c>
      <c r="Q22">
        <v>10</v>
      </c>
      <c r="R22">
        <v>8</v>
      </c>
      <c r="S22">
        <v>24</v>
      </c>
      <c r="T22">
        <v>-25</v>
      </c>
      <c r="U22">
        <v>15</v>
      </c>
      <c r="V22">
        <f t="shared" si="0"/>
        <v>0.91666666666666663</v>
      </c>
      <c r="W22">
        <f t="shared" si="1"/>
        <v>1.6666666666666667</v>
      </c>
      <c r="X22">
        <f t="shared" si="2"/>
        <v>0.61538461538461542</v>
      </c>
      <c r="Y22">
        <f t="shared" si="3"/>
        <v>1.8461538461538463</v>
      </c>
      <c r="Z22">
        <f t="shared" si="4"/>
        <v>0.59369602763385143</v>
      </c>
      <c r="AA22">
        <f t="shared" si="5"/>
        <v>1.1973180076628354</v>
      </c>
      <c r="AB22">
        <f t="shared" si="6"/>
        <v>0.44208664898320077</v>
      </c>
      <c r="AC22">
        <f t="shared" si="7"/>
        <v>1.195695496213631</v>
      </c>
    </row>
    <row r="24" spans="1:29" x14ac:dyDescent="0.2">
      <c r="A24" t="s">
        <v>46</v>
      </c>
      <c r="B24" t="s">
        <v>47</v>
      </c>
      <c r="C24" t="s">
        <v>48</v>
      </c>
      <c r="D24" t="s">
        <v>49</v>
      </c>
    </row>
    <row r="25" spans="1:29" x14ac:dyDescent="0.2">
      <c r="B25" t="s">
        <v>50</v>
      </c>
      <c r="C25">
        <f>F25/C27</f>
        <v>1.544</v>
      </c>
      <c r="D25">
        <f>H25/C27</f>
        <v>1.3919999999999999</v>
      </c>
      <c r="E25" t="s">
        <v>51</v>
      </c>
      <c r="F25">
        <f>SUM(L3:L22)</f>
        <v>386</v>
      </c>
      <c r="G25" t="s">
        <v>52</v>
      </c>
      <c r="H25">
        <f>SUM(M3:M22)</f>
        <v>348</v>
      </c>
    </row>
    <row r="26" spans="1:29" x14ac:dyDescent="0.2">
      <c r="B26" t="s">
        <v>53</v>
      </c>
      <c r="C26">
        <f>F26/C28</f>
        <v>1.3919999999999999</v>
      </c>
      <c r="D26">
        <f>H26/C28</f>
        <v>1.544</v>
      </c>
      <c r="E26" t="s">
        <v>54</v>
      </c>
      <c r="F26">
        <f>SUM(R3:R22)</f>
        <v>348</v>
      </c>
      <c r="G26" t="s">
        <v>55</v>
      </c>
      <c r="H26">
        <f>SUM(S3:S22)</f>
        <v>386</v>
      </c>
    </row>
    <row r="27" spans="1:29" x14ac:dyDescent="0.2">
      <c r="B27" t="s">
        <v>56</v>
      </c>
      <c r="C27">
        <f>SUM(H3:H22)</f>
        <v>250</v>
      </c>
    </row>
    <row r="28" spans="1:29" x14ac:dyDescent="0.2">
      <c r="B28" t="s">
        <v>57</v>
      </c>
      <c r="C28">
        <f>SUM(N3:N22)</f>
        <v>250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8A92C-55DF-470F-97B8-2EA1FC43608B}">
  <sheetPr codeName="Sheet5"/>
  <dimension ref="A1:R23"/>
  <sheetViews>
    <sheetView tabSelected="1" workbookViewId="0">
      <selection activeCell="B18" sqref="B18"/>
    </sheetView>
  </sheetViews>
  <sheetFormatPr baseColWidth="10" defaultColWidth="8.83203125" defaultRowHeight="15" x14ac:dyDescent="0.2"/>
  <cols>
    <col min="1" max="1" width="51" customWidth="1"/>
    <col min="3" max="3" width="21.33203125" customWidth="1"/>
    <col min="5" max="5" width="24.83203125" customWidth="1"/>
  </cols>
  <sheetData>
    <row r="1" spans="1:18" x14ac:dyDescent="0.2">
      <c r="A1" t="s">
        <v>37</v>
      </c>
      <c r="B1" t="s">
        <v>58</v>
      </c>
      <c r="C1" t="s">
        <v>38</v>
      </c>
      <c r="D1" t="s">
        <v>58</v>
      </c>
      <c r="G1" t="s">
        <v>38</v>
      </c>
    </row>
    <row r="2" spans="1:18" x14ac:dyDescent="0.2">
      <c r="A2" t="s">
        <v>12</v>
      </c>
      <c r="B2">
        <f>B3*B7*B10</f>
        <v>1.5651986183074265</v>
      </c>
      <c r="C2" t="s">
        <v>13</v>
      </c>
      <c r="D2">
        <f>B5*B9*B8</f>
        <v>1.2970945083014049</v>
      </c>
      <c r="G2" t="s">
        <v>59</v>
      </c>
      <c r="H2">
        <v>0</v>
      </c>
      <c r="I2">
        <f>H2+1</f>
        <v>1</v>
      </c>
      <c r="J2">
        <f t="shared" ref="J2:R2" si="0">I2+1</f>
        <v>2</v>
      </c>
      <c r="K2">
        <f t="shared" si="0"/>
        <v>3</v>
      </c>
      <c r="L2">
        <f t="shared" si="0"/>
        <v>4</v>
      </c>
      <c r="M2">
        <f t="shared" si="0"/>
        <v>5</v>
      </c>
      <c r="N2">
        <f>M2+1</f>
        <v>6</v>
      </c>
      <c r="O2">
        <f t="shared" si="0"/>
        <v>7</v>
      </c>
      <c r="P2">
        <f t="shared" si="0"/>
        <v>8</v>
      </c>
      <c r="Q2">
        <f t="shared" si="0"/>
        <v>9</v>
      </c>
      <c r="R2">
        <f t="shared" si="0"/>
        <v>10</v>
      </c>
    </row>
    <row r="3" spans="1:18" x14ac:dyDescent="0.2">
      <c r="A3" t="s">
        <v>60</v>
      </c>
      <c r="B3">
        <f>'Data Cleaned'!C25</f>
        <v>1.544</v>
      </c>
      <c r="F3" t="s">
        <v>37</v>
      </c>
      <c r="G3">
        <v>0</v>
      </c>
      <c r="H3" s="20">
        <f>POISSON($G3,$B$2,FALSE)*POISSON(H$2,$D$2,FALSE)</f>
        <v>5.7137586204293649E-2</v>
      </c>
      <c r="I3">
        <f t="shared" ref="I3:R13" si="1">POISSON($G3,$B$2,FALSE)*POISSON(I$2,$D$2,FALSE)</f>
        <v>7.4112849283187412E-2</v>
      </c>
      <c r="J3">
        <f t="shared" si="1"/>
        <v>4.8065684899896058E-2</v>
      </c>
      <c r="K3">
        <f t="shared" si="1"/>
        <v>2.0781911973800315E-2</v>
      </c>
      <c r="L3">
        <f t="shared" si="1"/>
        <v>6.739025973304902E-3</v>
      </c>
      <c r="M3">
        <f t="shared" si="1"/>
        <v>1.7482307162548616E-3</v>
      </c>
      <c r="N3">
        <f t="shared" si="1"/>
        <v>3.7793674354966937E-4</v>
      </c>
      <c r="O3">
        <f t="shared" si="1"/>
        <v>7.0031382077656034E-5</v>
      </c>
      <c r="P3">
        <f t="shared" si="1"/>
        <v>1.1354665137710634E-5</v>
      </c>
      <c r="Q3">
        <f t="shared" si="1"/>
        <v>1.6364526437473191E-6</v>
      </c>
      <c r="R3">
        <f t="shared" si="1"/>
        <v>2.1226337372999576E-7</v>
      </c>
    </row>
    <row r="4" spans="1:18" x14ac:dyDescent="0.2">
      <c r="A4" t="s">
        <v>61</v>
      </c>
      <c r="B4">
        <f>'Data Cleaned'!D25</f>
        <v>1.3919999999999999</v>
      </c>
      <c r="F4" t="s">
        <v>37</v>
      </c>
      <c r="G4">
        <f>G3+1</f>
        <v>1</v>
      </c>
      <c r="H4">
        <f t="shared" ref="H4:H13" si="2">POISSON($G4,$B$2,FALSE)*POISSON(H$2,$D$2,FALSE)</f>
        <v>8.9431670980381892E-2</v>
      </c>
      <c r="I4" s="20">
        <f t="shared" si="1"/>
        <v>0.11600132929687147</v>
      </c>
      <c r="J4">
        <f t="shared" si="1"/>
        <v>7.5232343593317444E-2</v>
      </c>
      <c r="K4">
        <f t="shared" si="1"/>
        <v>3.2527819907178811E-2</v>
      </c>
      <c r="L4">
        <f t="shared" si="1"/>
        <v>1.0547914142154693E-2</v>
      </c>
      <c r="M4">
        <f t="shared" si="1"/>
        <v>2.7363283015647117E-3</v>
      </c>
      <c r="N4">
        <f t="shared" si="1"/>
        <v>5.9154606881155062E-4</v>
      </c>
      <c r="O4">
        <f t="shared" si="1"/>
        <v>1.096130224661067E-4</v>
      </c>
      <c r="P4">
        <f t="shared" si="1"/>
        <v>1.7772306184888189E-5</v>
      </c>
      <c r="Q4">
        <f t="shared" si="1"/>
        <v>2.5613734169188388E-6</v>
      </c>
      <c r="R4">
        <f t="shared" si="1"/>
        <v>3.3223433927946224E-7</v>
      </c>
    </row>
    <row r="5" spans="1:18" x14ac:dyDescent="0.2">
      <c r="A5" t="s">
        <v>62</v>
      </c>
      <c r="B5">
        <f>'Data Cleaned'!C26</f>
        <v>1.3919999999999999</v>
      </c>
      <c r="F5" t="s">
        <v>37</v>
      </c>
      <c r="G5">
        <f t="shared" ref="G5:G13" si="3">G4+1</f>
        <v>2</v>
      </c>
      <c r="H5">
        <f t="shared" si="2"/>
        <v>6.9989163925709058E-2</v>
      </c>
      <c r="I5">
        <f t="shared" si="1"/>
        <v>9.0782560168644014E-2</v>
      </c>
      <c r="J5" s="20">
        <f t="shared" si="1"/>
        <v>5.887678012214502E-2</v>
      </c>
      <c r="K5">
        <f t="shared" si="1"/>
        <v>2.5456249387634539E-2</v>
      </c>
      <c r="L5">
        <f t="shared" si="1"/>
        <v>8.2547903206629455E-3</v>
      </c>
      <c r="M5">
        <f t="shared" si="1"/>
        <v>2.141448638422297E-3</v>
      </c>
      <c r="N5">
        <f t="shared" si="1"/>
        <v>4.6294354478451449E-4</v>
      </c>
      <c r="O5">
        <f t="shared" si="1"/>
        <v>8.5783075656225562E-5</v>
      </c>
      <c r="P5">
        <f t="shared" si="1"/>
        <v>1.3908594542361762E-5</v>
      </c>
      <c r="Q5">
        <f t="shared" si="1"/>
        <v>2.0045290665653693E-6</v>
      </c>
      <c r="R5">
        <f t="shared" si="1"/>
        <v>2.6000636439724755E-7</v>
      </c>
    </row>
    <row r="6" spans="1:18" x14ac:dyDescent="0.2">
      <c r="A6" t="s">
        <v>63</v>
      </c>
      <c r="B6">
        <f>'Data Cleaned'!D26</f>
        <v>1.544</v>
      </c>
      <c r="F6" t="s">
        <v>37</v>
      </c>
      <c r="G6">
        <f t="shared" si="3"/>
        <v>3</v>
      </c>
      <c r="H6">
        <f t="shared" si="2"/>
        <v>3.6515647557670596E-2</v>
      </c>
      <c r="I6">
        <f t="shared" si="1"/>
        <v>4.7364245914124144E-2</v>
      </c>
      <c r="J6">
        <f t="shared" si="1"/>
        <v>3.0717951632523846E-2</v>
      </c>
      <c r="K6">
        <f t="shared" si="1"/>
        <v>1.3281362122938286E-2</v>
      </c>
      <c r="L6">
        <f t="shared" si="1"/>
        <v>4.3067954681063865E-3</v>
      </c>
      <c r="M6">
        <f t="shared" si="1"/>
        <v>1.1172641500116331E-3</v>
      </c>
      <c r="N6">
        <f t="shared" si="1"/>
        <v>2.4153286555035478E-4</v>
      </c>
      <c r="O6">
        <f t="shared" si="1"/>
        <v>4.475585049709523E-5</v>
      </c>
      <c r="P6">
        <f t="shared" si="1"/>
        <v>7.2565709867676148E-6</v>
      </c>
      <c r="Q6">
        <f t="shared" si="1"/>
        <v>1.0458287084483972E-6</v>
      </c>
      <c r="R6">
        <f t="shared" si="1"/>
        <v>1.3565386743523636E-7</v>
      </c>
    </row>
    <row r="7" spans="1:18" x14ac:dyDescent="0.2">
      <c r="A7" t="s">
        <v>86</v>
      </c>
      <c r="B7">
        <f>VLOOKUP(A2,'Data Cleaned'!$A$3:$AC$22,26,FALSE)</f>
        <v>1.5651986183074265</v>
      </c>
      <c r="F7" t="s">
        <v>37</v>
      </c>
      <c r="G7">
        <f t="shared" si="3"/>
        <v>4</v>
      </c>
      <c r="H7">
        <f t="shared" si="2"/>
        <v>1.4288560275966752E-2</v>
      </c>
      <c r="I7">
        <f t="shared" si="1"/>
        <v>1.8533613065490083E-2</v>
      </c>
      <c r="J7">
        <f t="shared" si="1"/>
        <v>1.2019923863115178E-2</v>
      </c>
      <c r="K7">
        <f t="shared" si="1"/>
        <v>5.196992411015902E-3</v>
      </c>
      <c r="L7">
        <f t="shared" si="1"/>
        <v>1.6852475790032017E-3</v>
      </c>
      <c r="M7">
        <f t="shared" si="1"/>
        <v>4.3718507597065759E-4</v>
      </c>
      <c r="N7">
        <f t="shared" si="1"/>
        <v>9.4511726858812238E-5</v>
      </c>
      <c r="O7">
        <f t="shared" si="1"/>
        <v>1.7512948839806812E-5</v>
      </c>
      <c r="P7">
        <f t="shared" si="1"/>
        <v>2.8394937205346088E-6</v>
      </c>
      <c r="Q7">
        <f t="shared" si="1"/>
        <v>4.0923241236241822E-7</v>
      </c>
      <c r="R7">
        <f t="shared" si="1"/>
        <v>5.3081311469422722E-8</v>
      </c>
    </row>
    <row r="8" spans="1:18" x14ac:dyDescent="0.2">
      <c r="A8" t="s">
        <v>65</v>
      </c>
      <c r="B8">
        <f>VLOOKUP(A2,'Data Cleaned'!$A$3:$AC$22,27,FALSE)</f>
        <v>0.59865900383141768</v>
      </c>
      <c r="F8" t="s">
        <v>37</v>
      </c>
      <c r="G8">
        <f t="shared" si="3"/>
        <v>5</v>
      </c>
      <c r="H8">
        <f t="shared" si="2"/>
        <v>4.472886960309101E-3</v>
      </c>
      <c r="I8">
        <f t="shared" si="1"/>
        <v>5.8017571124699E-3</v>
      </c>
      <c r="J8">
        <f t="shared" si="1"/>
        <v>3.7627136445416622E-3</v>
      </c>
      <c r="K8">
        <f t="shared" si="1"/>
        <v>1.6268650682152515E-3</v>
      </c>
      <c r="L8">
        <f t="shared" si="1"/>
        <v>5.2754943643234858E-4</v>
      </c>
      <c r="M8">
        <f t="shared" si="1"/>
        <v>1.368562953707799E-4</v>
      </c>
      <c r="N8">
        <f t="shared" si="1"/>
        <v>2.9585924858652315E-5</v>
      </c>
      <c r="O8">
        <f t="shared" si="1"/>
        <v>5.4822486653108446E-6</v>
      </c>
      <c r="P8">
        <f t="shared" si="1"/>
        <v>8.8887432961467532E-7</v>
      </c>
      <c r="Q8">
        <f t="shared" si="1"/>
        <v>1.2810600127925419E-7</v>
      </c>
      <c r="R8">
        <f t="shared" si="1"/>
        <v>1.6616559073977294E-8</v>
      </c>
    </row>
    <row r="9" spans="1:18" x14ac:dyDescent="0.2">
      <c r="A9" t="s">
        <v>66</v>
      </c>
      <c r="B9">
        <f>VLOOKUP(C2,'Data Cleaned'!$A$3:$AC$22,28,FALSE)</f>
        <v>1.5565134099616857</v>
      </c>
      <c r="F9" t="s">
        <v>37</v>
      </c>
      <c r="G9">
        <f t="shared" si="3"/>
        <v>6</v>
      </c>
      <c r="H9">
        <f t="shared" si="2"/>
        <v>1.1668260816868536E-3</v>
      </c>
      <c r="I9">
        <f t="shared" si="1"/>
        <v>1.5134837026988643E-3</v>
      </c>
      <c r="J9">
        <f t="shared" si="1"/>
        <v>9.8156569958718679E-4</v>
      </c>
      <c r="K9">
        <f t="shared" si="1"/>
        <v>4.2439449282385549E-4</v>
      </c>
      <c r="L9">
        <f t="shared" si="1"/>
        <v>1.3761994149879579E-4</v>
      </c>
      <c r="M9">
        <f t="shared" si="1"/>
        <v>3.5701214070169681E-5</v>
      </c>
      <c r="N9">
        <f t="shared" si="1"/>
        <v>7.7179747850183365E-6</v>
      </c>
      <c r="O9">
        <f t="shared" si="1"/>
        <v>1.4301346726937135E-6</v>
      </c>
      <c r="P9">
        <f t="shared" si="1"/>
        <v>2.3187747876030534E-7</v>
      </c>
      <c r="Q9">
        <f t="shared" si="1"/>
        <v>3.34185560331964E-8</v>
      </c>
      <c r="R9">
        <f t="shared" si="1"/>
        <v>4.3347025506021717E-9</v>
      </c>
    </row>
    <row r="10" spans="1:18" x14ac:dyDescent="0.2">
      <c r="A10" t="s">
        <v>67</v>
      </c>
      <c r="B10">
        <f>VLOOKUP(C2,'Data Cleaned'!$A$3:$AC$22,29,FALSE)</f>
        <v>0.64766839378238339</v>
      </c>
      <c r="F10" t="s">
        <v>37</v>
      </c>
      <c r="G10">
        <f t="shared" si="3"/>
        <v>7</v>
      </c>
      <c r="H10">
        <f t="shared" si="2"/>
        <v>2.6090208155161841E-4</v>
      </c>
      <c r="I10">
        <f t="shared" si="1"/>
        <v>3.3841465718500958E-4</v>
      </c>
      <c r="J10">
        <f t="shared" si="1"/>
        <v>2.1947789668168925E-4</v>
      </c>
      <c r="K10">
        <f t="shared" si="1"/>
        <v>9.4894524826454095E-5</v>
      </c>
      <c r="L10">
        <f t="shared" si="1"/>
        <v>3.0771791755066248E-5</v>
      </c>
      <c r="M10">
        <f t="shared" si="1"/>
        <v>7.9827844192181647E-6</v>
      </c>
      <c r="N10">
        <f t="shared" si="1"/>
        <v>1.7257376385203201E-6</v>
      </c>
      <c r="O10">
        <f t="shared" si="1"/>
        <v>3.1977783052767727E-7</v>
      </c>
      <c r="P10">
        <f t="shared" si="1"/>
        <v>5.1847758481748431E-8</v>
      </c>
      <c r="Q10">
        <f t="shared" si="1"/>
        <v>7.4723825327126062E-9</v>
      </c>
      <c r="R10">
        <f t="shared" si="1"/>
        <v>9.6923863471088391E-10</v>
      </c>
    </row>
    <row r="11" spans="1:18" x14ac:dyDescent="0.2">
      <c r="F11" t="s">
        <v>37</v>
      </c>
      <c r="G11">
        <f t="shared" si="3"/>
        <v>8</v>
      </c>
      <c r="H11">
        <f t="shared" si="2"/>
        <v>5.1045447194765637E-5</v>
      </c>
      <c r="I11">
        <f t="shared" si="1"/>
        <v>6.6210769230119873E-5</v>
      </c>
      <c r="J11">
        <f t="shared" si="1"/>
        <v>4.2940812579400067E-5</v>
      </c>
      <c r="K11">
        <f t="shared" si="1"/>
        <v>1.8566097392913238E-5</v>
      </c>
      <c r="L11">
        <f t="shared" si="1"/>
        <v>6.0204957422342006E-6</v>
      </c>
      <c r="M11">
        <f t="shared" si="1"/>
        <v>1.5618303929007924E-6</v>
      </c>
      <c r="N11">
        <f t="shared" si="1"/>
        <v>3.3764027092164112E-7</v>
      </c>
      <c r="O11">
        <f t="shared" si="1"/>
        <v>6.2564477313408424E-8</v>
      </c>
      <c r="P11">
        <f t="shared" si="1"/>
        <v>1.0144004992246237E-8</v>
      </c>
      <c r="Q11">
        <f t="shared" si="1"/>
        <v>1.4619703519582913E-9</v>
      </c>
      <c r="R11">
        <f t="shared" si="1"/>
        <v>1.896313714824567E-10</v>
      </c>
    </row>
    <row r="12" spans="1:18" x14ac:dyDescent="0.2">
      <c r="F12" t="s">
        <v>37</v>
      </c>
      <c r="G12">
        <f t="shared" si="3"/>
        <v>9</v>
      </c>
      <c r="H12">
        <f t="shared" si="2"/>
        <v>8.8773626022368833E-6</v>
      </c>
      <c r="I12">
        <f t="shared" si="1"/>
        <v>1.151477827956173E-5</v>
      </c>
      <c r="J12">
        <f t="shared" si="1"/>
        <v>7.467877835363911E-6</v>
      </c>
      <c r="K12">
        <f t="shared" si="1"/>
        <v>3.2288477763054375E-6</v>
      </c>
      <c r="L12">
        <f t="shared" si="1"/>
        <v>1.0470301796967471E-6</v>
      </c>
      <c r="M12">
        <f t="shared" si="1"/>
        <v>2.7161941922209638E-7</v>
      </c>
      <c r="N12">
        <f t="shared" si="1"/>
        <v>5.8719342836833143E-8</v>
      </c>
      <c r="O12">
        <f t="shared" si="1"/>
        <v>1.0880648160674808E-8</v>
      </c>
      <c r="P12">
        <f t="shared" si="1"/>
        <v>1.7641536219963844E-9</v>
      </c>
      <c r="Q12">
        <f t="shared" si="1"/>
        <v>2.5425266387683799E-10</v>
      </c>
      <c r="R12">
        <f t="shared" si="1"/>
        <v>3.2978973403564865E-11</v>
      </c>
    </row>
    <row r="13" spans="1:18" x14ac:dyDescent="0.2">
      <c r="F13" t="s">
        <v>37</v>
      </c>
      <c r="G13">
        <f t="shared" si="3"/>
        <v>10</v>
      </c>
      <c r="H13">
        <f t="shared" si="2"/>
        <v>1.3894835679235171E-6</v>
      </c>
      <c r="I13">
        <f t="shared" si="1"/>
        <v>1.8022915053286364E-6</v>
      </c>
      <c r="J13">
        <f t="shared" si="1"/>
        <v>1.1688712069600234E-6</v>
      </c>
      <c r="K13">
        <f t="shared" si="1"/>
        <v>5.0537880781982705E-7</v>
      </c>
      <c r="L13">
        <f t="shared" si="1"/>
        <v>1.6388101905875227E-7</v>
      </c>
      <c r="M13">
        <f t="shared" si="1"/>
        <v>4.2513833967189033E-8</v>
      </c>
      <c r="N13">
        <f t="shared" si="1"/>
        <v>9.1907434276131189E-9</v>
      </c>
      <c r="O13">
        <f t="shared" si="1"/>
        <v>1.703037546737743E-9</v>
      </c>
      <c r="P13">
        <f t="shared" si="1"/>
        <v>2.7612508116307794E-10</v>
      </c>
      <c r="Q13">
        <f t="shared" si="1"/>
        <v>3.9795591820100879E-11</v>
      </c>
      <c r="R13">
        <f t="shared" si="1"/>
        <v>5.1618643604457031E-12</v>
      </c>
    </row>
    <row r="15" spans="1:18" x14ac:dyDescent="0.2">
      <c r="G15" t="s">
        <v>68</v>
      </c>
    </row>
    <row r="16" spans="1:18" x14ac:dyDescent="0.2">
      <c r="E16" t="s">
        <v>69</v>
      </c>
      <c r="F16">
        <f>SUM(H4:H13)+SUM(I5:I13)+SUM(J6:J13)+SUM(K7:K13)+SUM(L8:L13)+SUM(M9:M13)+SUM(N10:N13)+SUM(O11:O13)+SUM(P12:P13)+Q13</f>
        <v>0.43647017079019329</v>
      </c>
      <c r="G16">
        <f>1/F16</f>
        <v>2.2911073125331392</v>
      </c>
    </row>
    <row r="17" spans="1:10" x14ac:dyDescent="0.2">
      <c r="E17" t="s">
        <v>70</v>
      </c>
      <c r="F17">
        <f>SUM(R3:R12)+SUM(Q3:Q11)+SUM(P3:P10)+SUM(O3:O9)+SUM(N3:N8)+SUM(M3:M7)+SUM(L3:L6)+SUM(K3:K5)+SUM(J3:J4)+I3</f>
        <v>0.31640165485642036</v>
      </c>
      <c r="G17">
        <f>1/F17</f>
        <v>3.160539727435336</v>
      </c>
    </row>
    <row r="18" spans="1:10" x14ac:dyDescent="0.2">
      <c r="A18">
        <f>POISSON(2,B2,FALSE)</f>
        <v>0.25606592665116285</v>
      </c>
      <c r="B18">
        <f>((B2^2)*(EXP(-B2)))/2</f>
        <v>0.25606592665116285</v>
      </c>
      <c r="E18" t="s">
        <v>71</v>
      </c>
      <c r="F18">
        <f>H3+I4+J5+K6+L7+M8+N9+O10+P11+Q12+R13</f>
        <v>0.2471272097766575</v>
      </c>
      <c r="G18">
        <f>1/F18</f>
        <v>4.0464989707274857</v>
      </c>
    </row>
    <row r="19" spans="1:10" x14ac:dyDescent="0.2">
      <c r="A19">
        <f>POISSON(2,D2,FALSE)</f>
        <v>0.22992820986429999</v>
      </c>
    </row>
    <row r="20" spans="1:10" x14ac:dyDescent="0.2">
      <c r="A20">
        <f>A18*A19</f>
        <v>5.887678012214502E-2</v>
      </c>
      <c r="G20">
        <f>POISSON(G5,B2,FALSE)</f>
        <v>0.25606592665116285</v>
      </c>
      <c r="H20">
        <f>EXP((-B2))/2</f>
        <v>0.10452324429495552</v>
      </c>
      <c r="I20">
        <f>B2^G5</f>
        <v>2.4498467147514771</v>
      </c>
      <c r="J20">
        <f>H20*I20</f>
        <v>0.25606592665116285</v>
      </c>
    </row>
    <row r="23" spans="1:10" x14ac:dyDescent="0.2">
      <c r="E23" t="s">
        <v>87</v>
      </c>
      <c r="F23">
        <f>H4+I3+I4+J3+H5</f>
        <v>0.39760069838604584</v>
      </c>
      <c r="G23">
        <f>1/F23</f>
        <v>2.5150861255003667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B0806-A802-4836-B5D4-3DD80F0F6FC7}">
  <sheetPr codeName="Sheet6"/>
  <dimension ref="A1:R30"/>
  <sheetViews>
    <sheetView workbookViewId="0">
      <selection activeCell="D20" sqref="D20"/>
    </sheetView>
  </sheetViews>
  <sheetFormatPr baseColWidth="10" defaultColWidth="8.83203125" defaultRowHeight="15" x14ac:dyDescent="0.2"/>
  <cols>
    <col min="1" max="1" width="51" customWidth="1"/>
    <col min="3" max="3" width="21.33203125" customWidth="1"/>
    <col min="9" max="9" width="37.83203125" customWidth="1"/>
  </cols>
  <sheetData>
    <row r="1" spans="1:18" x14ac:dyDescent="0.2">
      <c r="A1" t="s">
        <v>37</v>
      </c>
      <c r="B1" t="s">
        <v>58</v>
      </c>
      <c r="C1" t="s">
        <v>38</v>
      </c>
      <c r="D1" t="s">
        <v>58</v>
      </c>
    </row>
    <row r="2" spans="1:18" x14ac:dyDescent="0.2">
      <c r="A2" t="s">
        <v>12</v>
      </c>
      <c r="B2">
        <f>B3*B7*B10</f>
        <v>1.5651986183074265</v>
      </c>
      <c r="C2" t="s">
        <v>13</v>
      </c>
      <c r="D2">
        <f>B5*B9*B8</f>
        <v>1.2970945083014049</v>
      </c>
      <c r="H2">
        <v>0</v>
      </c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  <c r="R2">
        <v>10</v>
      </c>
    </row>
    <row r="3" spans="1:18" x14ac:dyDescent="0.2">
      <c r="A3" t="s">
        <v>60</v>
      </c>
      <c r="B3">
        <f>'Data Cleaned'!C25</f>
        <v>1.544</v>
      </c>
      <c r="G3">
        <v>0</v>
      </c>
      <c r="H3">
        <v>5.7137586204293649E-2</v>
      </c>
      <c r="I3">
        <v>7.4112849283187412E-2</v>
      </c>
      <c r="J3">
        <v>4.8065684899896058E-2</v>
      </c>
      <c r="K3">
        <v>2.0781911973800315E-2</v>
      </c>
      <c r="L3">
        <v>6.739025973304902E-3</v>
      </c>
      <c r="M3">
        <v>1.7482307162548616E-3</v>
      </c>
      <c r="N3">
        <v>3.7793674354966937E-4</v>
      </c>
      <c r="O3">
        <v>7.0031382077656034E-5</v>
      </c>
      <c r="P3">
        <v>1.1354665137710634E-5</v>
      </c>
      <c r="Q3">
        <v>1.6364526437473191E-6</v>
      </c>
      <c r="R3">
        <v>2.1226337372999576E-7</v>
      </c>
    </row>
    <row r="4" spans="1:18" x14ac:dyDescent="0.2">
      <c r="A4" t="s">
        <v>61</v>
      </c>
      <c r="B4">
        <f>'Data Cleaned'!D25</f>
        <v>1.3919999999999999</v>
      </c>
      <c r="G4">
        <v>1</v>
      </c>
      <c r="H4">
        <v>8.9431670980381892E-2</v>
      </c>
      <c r="I4">
        <v>0.11600132929687147</v>
      </c>
      <c r="J4">
        <v>7.5232343593317444E-2</v>
      </c>
      <c r="K4">
        <v>3.2527819907178811E-2</v>
      </c>
      <c r="L4">
        <v>1.0547914142154693E-2</v>
      </c>
      <c r="M4">
        <v>2.7363283015647117E-3</v>
      </c>
      <c r="N4">
        <v>5.9154606881155062E-4</v>
      </c>
      <c r="O4">
        <v>1.096130224661067E-4</v>
      </c>
      <c r="P4">
        <v>1.7772306184888189E-5</v>
      </c>
      <c r="Q4">
        <v>2.5613734169188388E-6</v>
      </c>
      <c r="R4">
        <v>3.3223433927946224E-7</v>
      </c>
    </row>
    <row r="5" spans="1:18" x14ac:dyDescent="0.2">
      <c r="A5" t="s">
        <v>62</v>
      </c>
      <c r="B5">
        <f>'Data Cleaned'!C26</f>
        <v>1.3919999999999999</v>
      </c>
      <c r="G5">
        <v>2</v>
      </c>
      <c r="H5">
        <v>6.9989163925709058E-2</v>
      </c>
      <c r="I5">
        <v>9.0782560168644014E-2</v>
      </c>
      <c r="J5">
        <v>5.887678012214502E-2</v>
      </c>
      <c r="K5">
        <v>2.5456249387634539E-2</v>
      </c>
      <c r="L5">
        <v>8.2547903206629455E-3</v>
      </c>
      <c r="M5">
        <v>2.141448638422297E-3</v>
      </c>
      <c r="N5">
        <v>4.6294354478451449E-4</v>
      </c>
      <c r="O5">
        <v>8.5783075656225562E-5</v>
      </c>
      <c r="P5">
        <v>1.3908594542361762E-5</v>
      </c>
      <c r="Q5">
        <v>2.0045290665653693E-6</v>
      </c>
      <c r="R5">
        <v>2.6000636439724755E-7</v>
      </c>
    </row>
    <row r="6" spans="1:18" x14ac:dyDescent="0.2">
      <c r="A6" t="s">
        <v>63</v>
      </c>
      <c r="B6">
        <f>'Data Cleaned'!D26</f>
        <v>1.544</v>
      </c>
      <c r="G6">
        <v>3</v>
      </c>
      <c r="H6">
        <v>3.6515647557670596E-2</v>
      </c>
      <c r="I6">
        <v>4.7364245914124144E-2</v>
      </c>
      <c r="J6">
        <v>3.0717951632523846E-2</v>
      </c>
      <c r="K6">
        <v>1.3281362122938286E-2</v>
      </c>
      <c r="L6">
        <v>4.3067954681063865E-3</v>
      </c>
      <c r="M6">
        <v>1.1172641500116331E-3</v>
      </c>
      <c r="N6">
        <v>2.4153286555035478E-4</v>
      </c>
      <c r="O6">
        <v>4.475585049709523E-5</v>
      </c>
      <c r="P6">
        <v>7.2565709867676148E-6</v>
      </c>
      <c r="Q6">
        <v>1.0458287084483972E-6</v>
      </c>
      <c r="R6">
        <v>1.3565386743523636E-7</v>
      </c>
    </row>
    <row r="7" spans="1:18" x14ac:dyDescent="0.2">
      <c r="A7" t="s">
        <v>64</v>
      </c>
      <c r="B7">
        <f>VLOOKUP(A2,'Data Cleaned'!$A$3:$AC$22,26,FALSE)</f>
        <v>1.5651986183074265</v>
      </c>
      <c r="G7">
        <v>4</v>
      </c>
      <c r="H7">
        <v>1.4288560275966752E-2</v>
      </c>
      <c r="I7">
        <v>1.8533613065490083E-2</v>
      </c>
      <c r="J7">
        <v>1.2019923863115178E-2</v>
      </c>
      <c r="K7">
        <v>5.196992411015902E-3</v>
      </c>
      <c r="L7">
        <v>1.6852475790032017E-3</v>
      </c>
      <c r="M7">
        <v>4.3718507597065759E-4</v>
      </c>
      <c r="N7">
        <v>9.4511726858812238E-5</v>
      </c>
      <c r="O7">
        <v>1.7512948839806812E-5</v>
      </c>
      <c r="P7">
        <v>2.8394937205346088E-6</v>
      </c>
      <c r="Q7">
        <v>4.0923241236241822E-7</v>
      </c>
      <c r="R7">
        <v>5.3081311469422722E-8</v>
      </c>
    </row>
    <row r="8" spans="1:18" x14ac:dyDescent="0.2">
      <c r="A8" t="s">
        <v>65</v>
      </c>
      <c r="B8">
        <f>VLOOKUP(A2,'Data Cleaned'!$A$3:$AC$22,27,FALSE)</f>
        <v>0.59865900383141768</v>
      </c>
      <c r="G8">
        <v>5</v>
      </c>
      <c r="H8">
        <v>4.472886960309101E-3</v>
      </c>
      <c r="I8">
        <v>5.8017571124699E-3</v>
      </c>
      <c r="J8">
        <v>3.7627136445416622E-3</v>
      </c>
      <c r="K8">
        <v>1.6268650682152515E-3</v>
      </c>
      <c r="L8">
        <v>5.2754943643234858E-4</v>
      </c>
      <c r="M8">
        <v>1.368562953707799E-4</v>
      </c>
      <c r="N8">
        <v>2.9585924858652315E-5</v>
      </c>
      <c r="O8">
        <v>5.4822486653108446E-6</v>
      </c>
      <c r="P8">
        <v>8.8887432961467532E-7</v>
      </c>
      <c r="Q8">
        <v>1.2810600127925419E-7</v>
      </c>
      <c r="R8">
        <v>1.6616559073977294E-8</v>
      </c>
    </row>
    <row r="9" spans="1:18" x14ac:dyDescent="0.2">
      <c r="A9" t="s">
        <v>66</v>
      </c>
      <c r="B9">
        <f>VLOOKUP(C2,'Data Cleaned'!$A$3:$AC$22,28,FALSE)</f>
        <v>1.5565134099616857</v>
      </c>
      <c r="G9">
        <v>6</v>
      </c>
      <c r="H9">
        <v>1.1668260816868536E-3</v>
      </c>
      <c r="I9">
        <v>1.5134837026988643E-3</v>
      </c>
      <c r="J9">
        <v>9.8156569958718679E-4</v>
      </c>
      <c r="K9">
        <v>4.2439449282385549E-4</v>
      </c>
      <c r="L9">
        <v>1.3761994149879579E-4</v>
      </c>
      <c r="M9">
        <v>3.5701214070169681E-5</v>
      </c>
      <c r="N9">
        <v>7.7179747850183365E-6</v>
      </c>
      <c r="O9">
        <v>1.4301346726937135E-6</v>
      </c>
      <c r="P9">
        <v>2.3187747876030534E-7</v>
      </c>
      <c r="Q9">
        <v>3.34185560331964E-8</v>
      </c>
      <c r="R9">
        <v>4.3347025506021717E-9</v>
      </c>
    </row>
    <row r="10" spans="1:18" x14ac:dyDescent="0.2">
      <c r="A10" t="s">
        <v>67</v>
      </c>
      <c r="B10">
        <f>VLOOKUP(C2,'Data Cleaned'!$A$3:$AC$22,29,FALSE)</f>
        <v>0.64766839378238339</v>
      </c>
      <c r="G10">
        <v>7</v>
      </c>
      <c r="H10">
        <v>2.6090208155161841E-4</v>
      </c>
      <c r="I10">
        <v>3.3841465718500958E-4</v>
      </c>
      <c r="J10">
        <v>2.1947789668168925E-4</v>
      </c>
      <c r="K10">
        <v>9.4894524826454095E-5</v>
      </c>
      <c r="L10">
        <v>3.0771791755066248E-5</v>
      </c>
      <c r="M10">
        <v>7.9827844192181647E-6</v>
      </c>
      <c r="N10">
        <v>1.7257376385203201E-6</v>
      </c>
      <c r="O10">
        <v>3.1977783052767727E-7</v>
      </c>
      <c r="P10">
        <v>5.1847758481748431E-8</v>
      </c>
      <c r="Q10">
        <v>7.4723825327126062E-9</v>
      </c>
      <c r="R10">
        <v>9.6923863471088391E-10</v>
      </c>
    </row>
    <row r="11" spans="1:18" x14ac:dyDescent="0.2">
      <c r="G11">
        <v>8</v>
      </c>
      <c r="H11">
        <v>5.1045447194765637E-5</v>
      </c>
      <c r="I11">
        <v>6.6210769230119873E-5</v>
      </c>
      <c r="J11">
        <v>4.2940812579400067E-5</v>
      </c>
      <c r="K11">
        <v>1.8566097392913238E-5</v>
      </c>
      <c r="L11">
        <v>6.0204957422342006E-6</v>
      </c>
      <c r="M11">
        <v>1.5618303929007924E-6</v>
      </c>
      <c r="N11">
        <v>3.3764027092164112E-7</v>
      </c>
      <c r="O11">
        <v>6.2564477313408424E-8</v>
      </c>
      <c r="P11">
        <v>1.0144004992246237E-8</v>
      </c>
      <c r="Q11">
        <v>1.4619703519582913E-9</v>
      </c>
      <c r="R11">
        <v>1.896313714824567E-10</v>
      </c>
    </row>
    <row r="12" spans="1:18" x14ac:dyDescent="0.2">
      <c r="G12">
        <v>9</v>
      </c>
      <c r="H12">
        <v>8.8773626022368833E-6</v>
      </c>
      <c r="I12">
        <v>1.151477827956173E-5</v>
      </c>
      <c r="J12">
        <v>7.467877835363911E-6</v>
      </c>
      <c r="K12">
        <v>3.2288477763054375E-6</v>
      </c>
      <c r="L12">
        <v>1.0470301796967471E-6</v>
      </c>
      <c r="M12">
        <v>2.7161941922209638E-7</v>
      </c>
      <c r="N12">
        <v>5.8719342836833143E-8</v>
      </c>
      <c r="O12">
        <v>1.0880648160674808E-8</v>
      </c>
      <c r="P12">
        <v>1.7641536219963844E-9</v>
      </c>
      <c r="Q12">
        <v>2.5425266387683799E-10</v>
      </c>
      <c r="R12">
        <v>3.2978973403564865E-11</v>
      </c>
    </row>
    <row r="13" spans="1:18" x14ac:dyDescent="0.2">
      <c r="G13">
        <v>10</v>
      </c>
      <c r="H13">
        <v>1.3894835679235171E-6</v>
      </c>
      <c r="I13">
        <v>1.8022915053286364E-6</v>
      </c>
      <c r="J13">
        <v>1.1688712069600234E-6</v>
      </c>
      <c r="K13">
        <v>5.0537880781982705E-7</v>
      </c>
      <c r="L13">
        <v>1.6388101905875227E-7</v>
      </c>
      <c r="M13">
        <v>4.2513833967189033E-8</v>
      </c>
      <c r="N13">
        <v>9.1907434276131189E-9</v>
      </c>
      <c r="O13">
        <v>1.703037546737743E-9</v>
      </c>
      <c r="P13">
        <v>2.7612508116307794E-10</v>
      </c>
      <c r="Q13">
        <v>3.9795591820100879E-11</v>
      </c>
      <c r="R13">
        <v>5.1618643604457031E-12</v>
      </c>
    </row>
    <row r="15" spans="1:18" x14ac:dyDescent="0.2">
      <c r="G15" t="s">
        <v>68</v>
      </c>
    </row>
    <row r="16" spans="1:18" x14ac:dyDescent="0.2">
      <c r="E16" t="s">
        <v>69</v>
      </c>
      <c r="F16">
        <f>SUM(H4:H13)+SUM(I5:I13)+SUM(J6:J13)+SUM(K7:K13)+SUM(L8:L13)+SUM(M9:M13)+SUM(N10:N13)+SUM(O11:O13)+SUM(P12:P13)+Q13</f>
        <v>0.43647017079019329</v>
      </c>
      <c r="G16">
        <f>1/F16</f>
        <v>2.2911073125331392</v>
      </c>
      <c r="I16" t="s">
        <v>78</v>
      </c>
    </row>
    <row r="17" spans="1:11" ht="16" x14ac:dyDescent="0.2">
      <c r="E17" t="s">
        <v>70</v>
      </c>
      <c r="F17">
        <f>SUM(R3:R12)+SUM(Q3:Q11)+SUM(P3:P10)+SUM(O3:O9)+SUM(N3:N8)+SUM(M3:M7)+SUM(L3:L6)+SUM(K3:K5)+SUM(J3:J4)+I3</f>
        <v>0.31640165485642036</v>
      </c>
      <c r="G17">
        <f>1/F17</f>
        <v>3.160539727435336</v>
      </c>
      <c r="I17" s="19" t="s">
        <v>73</v>
      </c>
    </row>
    <row r="18" spans="1:11" ht="32" x14ac:dyDescent="0.2">
      <c r="A18">
        <f>POISSON(2,B2,FALSE)</f>
        <v>0.25606592665116285</v>
      </c>
      <c r="E18" t="s">
        <v>71</v>
      </c>
      <c r="F18">
        <f>H3+I4+J5+K6+L7+M8+N9+O10+P11+Q12+R13</f>
        <v>0.2471272097766575</v>
      </c>
      <c r="G18">
        <f>1/F18</f>
        <v>4.0464989707274857</v>
      </c>
      <c r="I18" s="19" t="s">
        <v>74</v>
      </c>
      <c r="J18">
        <f>POISSON(G4,B2,FALSE)</f>
        <v>0.32719927510294794</v>
      </c>
    </row>
    <row r="19" spans="1:11" ht="32" x14ac:dyDescent="0.2">
      <c r="A19">
        <f>POISSON(2,D2,FALSE)</f>
        <v>0.22992820986429999</v>
      </c>
      <c r="I19" s="19" t="s">
        <v>75</v>
      </c>
      <c r="J19">
        <f>H4</f>
        <v>8.9431670980381892E-2</v>
      </c>
    </row>
    <row r="20" spans="1:11" ht="64" x14ac:dyDescent="0.2">
      <c r="A20">
        <f>A18*A19</f>
        <v>5.887678012214502E-2</v>
      </c>
      <c r="I20" s="19" t="s">
        <v>77</v>
      </c>
      <c r="J20">
        <f>J19/J18</f>
        <v>0.27332478335180804</v>
      </c>
    </row>
    <row r="21" spans="1:11" ht="32" x14ac:dyDescent="0.2">
      <c r="I21" s="19" t="s">
        <v>76</v>
      </c>
      <c r="J21">
        <f>POISSON(0,D2,FALSE)</f>
        <v>0.27332478335180804</v>
      </c>
    </row>
    <row r="23" spans="1:11" ht="16" x14ac:dyDescent="0.2">
      <c r="I23" s="19" t="s">
        <v>79</v>
      </c>
    </row>
    <row r="24" spans="1:11" ht="32" x14ac:dyDescent="0.2">
      <c r="I24" s="19" t="s">
        <v>80</v>
      </c>
      <c r="J24">
        <f>POISSON(G5,B2,FALSE)</f>
        <v>0.25606592665116285</v>
      </c>
    </row>
    <row r="25" spans="1:11" ht="48" x14ac:dyDescent="0.2">
      <c r="I25" s="19" t="s">
        <v>81</v>
      </c>
      <c r="J25">
        <f>H5+I5</f>
        <v>0.16077172409435309</v>
      </c>
    </row>
    <row r="26" spans="1:11" ht="64" x14ac:dyDescent="0.2">
      <c r="I26" s="19" t="s">
        <v>77</v>
      </c>
      <c r="J26">
        <f>J25/J24</f>
        <v>0.62785285882010955</v>
      </c>
    </row>
    <row r="27" spans="1:11" ht="16" x14ac:dyDescent="0.2">
      <c r="I27" s="19" t="s">
        <v>82</v>
      </c>
    </row>
    <row r="28" spans="1:11" ht="32" x14ac:dyDescent="0.2">
      <c r="I28" s="19" t="s">
        <v>83</v>
      </c>
      <c r="J28">
        <f>J5/J24</f>
        <v>0.22992820986429999</v>
      </c>
    </row>
    <row r="29" spans="1:11" ht="32" x14ac:dyDescent="0.2">
      <c r="I29" s="19" t="s">
        <v>84</v>
      </c>
      <c r="J29">
        <f>(SUM(K5:R5))/J24</f>
        <v>0.14221879721914368</v>
      </c>
    </row>
    <row r="30" spans="1:11" ht="32" x14ac:dyDescent="0.2">
      <c r="I30" s="19" t="s">
        <v>85</v>
      </c>
      <c r="J30">
        <f>POISSON(0,D2,FALSE)+POISSON(1,D2,FALSE)+POISSON(2,D2,FALSE)</f>
        <v>0.85778106868440951</v>
      </c>
      <c r="K30">
        <f>1-J30</f>
        <v>0.14221893131559049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op1">
                <anchor moveWithCells="1" sizeWithCells="1">
                  <from>
                    <xdr:col>3</xdr:col>
                    <xdr:colOff>127000</xdr:colOff>
                    <xdr:row>2</xdr:row>
                    <xdr:rowOff>177800</xdr:rowOff>
                  </from>
                  <to>
                    <xdr:col>5</xdr:col>
                    <xdr:colOff>152400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op1">
                <anchor moveWithCells="1" sizeWithCells="1">
                  <from>
                    <xdr:col>2</xdr:col>
                    <xdr:colOff>1371600</xdr:colOff>
                    <xdr:row>9</xdr:row>
                    <xdr:rowOff>50800</xdr:rowOff>
                  </from>
                  <to>
                    <xdr:col>4</xdr:col>
                    <xdr:colOff>596900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loop1">
                <anchor moveWithCells="1" sizeWithCells="1">
                  <from>
                    <xdr:col>2</xdr:col>
                    <xdr:colOff>266700</xdr:colOff>
                    <xdr:row>12</xdr:row>
                    <xdr:rowOff>152400</xdr:rowOff>
                  </from>
                  <to>
                    <xdr:col>3</xdr:col>
                    <xdr:colOff>165100</xdr:colOff>
                    <xdr:row>14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742262-2E5E-4970-AC7F-AE4A273A89B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Sheet1</vt:lpstr>
      <vt:lpstr>Data Cleaned</vt:lpstr>
      <vt:lpstr>Forecast</vt:lpstr>
      <vt:lpstr>ForecastLoop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mrcde</dc:creator>
  <cp:lastModifiedBy>DELOGU Marco</cp:lastModifiedBy>
  <cp:lastPrinted>2020-03-03T19:09:26Z</cp:lastPrinted>
  <dcterms:created xsi:type="dcterms:W3CDTF">2020-03-03T18:31:38Z</dcterms:created>
  <dcterms:modified xsi:type="dcterms:W3CDTF">2020-04-02T10:28:57Z</dcterms:modified>
</cp:coreProperties>
</file>