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codelogu/Dropbox/Laboratorio Economia E finanza/Laboratorio20192020/Lecture2/"/>
    </mc:Choice>
  </mc:AlternateContent>
  <xr:revisionPtr revIDLastSave="0" documentId="13_ncr:1_{E2F5A83E-001F-114F-9454-A21212A05BDD}" xr6:coauthVersionLast="45" xr6:coauthVersionMax="45" xr10:uidLastSave="{00000000-0000-0000-0000-000000000000}"/>
  <bookViews>
    <workbookView xWindow="3980" yWindow="2280" windowWidth="20740" windowHeight="11160" activeTab="5" xr2:uid="{B01BB7AA-BB4F-4A11-B8AF-74793ED8BB9A}"/>
  </bookViews>
  <sheets>
    <sheet name="EsempioMacro1" sheetId="1" r:id="rId1"/>
    <sheet name="EsempioMacro2" sheetId="3" r:id="rId2"/>
    <sheet name="EsempioMacro3" sheetId="6" r:id="rId3"/>
    <sheet name="FunzioniVBArettangolo" sheetId="7" r:id="rId4"/>
    <sheet name="VBAPutandCall" sheetId="8" r:id="rId5"/>
    <sheet name="Leverage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9" l="1"/>
  <c r="E6" i="8"/>
  <c r="E5" i="8"/>
  <c r="E2" i="8"/>
  <c r="E1" i="8"/>
  <c r="D2" i="7"/>
  <c r="E2" i="7"/>
  <c r="D1" i="7"/>
  <c r="F2" i="8" a="1"/>
  <c r="F3" i="9" a="1"/>
  <c r="D2" i="9"/>
  <c r="F2" i="9" a="1"/>
  <c r="F2" i="9" l="1"/>
  <c r="F2" i="8"/>
  <c r="F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<sst xmlns="http://schemas.openxmlformats.org/spreadsheetml/2006/main" count="29" uniqueCount="15">
  <si>
    <t>Nome</t>
  </si>
  <si>
    <t>Cognome</t>
  </si>
  <si>
    <t>Eta</t>
  </si>
  <si>
    <t>widht</t>
  </si>
  <si>
    <t>length</t>
  </si>
  <si>
    <t>Asset Price</t>
  </si>
  <si>
    <t>Strike</t>
  </si>
  <si>
    <t>call</t>
  </si>
  <si>
    <t>put</t>
  </si>
  <si>
    <t>1stApril</t>
  </si>
  <si>
    <t>Date</t>
  </si>
  <si>
    <t>1stMay</t>
  </si>
  <si>
    <t>Asset</t>
  </si>
  <si>
    <t>Call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</si>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</sst>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007C-4F2C-4D20-BA8E-85C4B8FD641E}">
  <sheetPr codeName="Sheet1"/>
  <dimension ref="A1:C1"/>
  <sheetViews>
    <sheetView workbookViewId="0">
      <selection activeCell="D16" sqref="D16"/>
    </sheetView>
  </sheetViews>
  <sheetFormatPr baseColWidth="10" defaultColWidth="8.83203125" defaultRowHeight="15" x14ac:dyDescent="0.2"/>
  <sheetData>
    <row r="1" spans="1:3" x14ac:dyDescent="0.2">
      <c r="A1" s="2" t="s">
        <v>0</v>
      </c>
      <c r="B1" s="2" t="s">
        <v>1</v>
      </c>
      <c r="C1" s="1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9F6C2-5091-4842-999B-D97E595C2EB4}">
  <sheetPr codeName="Sheet2"/>
  <dimension ref="A1:C1"/>
  <sheetViews>
    <sheetView workbookViewId="0">
      <selection activeCell="F15" sqref="F15"/>
    </sheetView>
  </sheetViews>
  <sheetFormatPr baseColWidth="10" defaultColWidth="8.83203125" defaultRowHeight="15" x14ac:dyDescent="0.2"/>
  <sheetData>
    <row r="1" spans="1:3" x14ac:dyDescent="0.2">
      <c r="A1" s="2" t="s">
        <v>0</v>
      </c>
      <c r="B1" s="2" t="s">
        <v>1</v>
      </c>
      <c r="C1" s="1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6454B-E5A2-43B9-9424-ACBF1B61D923}">
  <sheetPr codeName="Sheet5"/>
  <dimension ref="A1:I15"/>
  <sheetViews>
    <sheetView workbookViewId="0">
      <selection activeCell="C10" sqref="C10"/>
    </sheetView>
  </sheetViews>
  <sheetFormatPr baseColWidth="10" defaultColWidth="8.83203125" defaultRowHeight="15" x14ac:dyDescent="0.2"/>
  <sheetData>
    <row r="1" spans="1:9" x14ac:dyDescent="0.2">
      <c r="A1" s="2" t="s">
        <v>0</v>
      </c>
      <c r="B1" s="2" t="s">
        <v>1</v>
      </c>
      <c r="C1" s="1" t="s">
        <v>2</v>
      </c>
    </row>
    <row r="15" spans="1:9" x14ac:dyDescent="0.2">
      <c r="G15" s="1" t="s">
        <v>0</v>
      </c>
      <c r="H15" s="1" t="s">
        <v>1</v>
      </c>
      <c r="I15" s="2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BA79A-40A8-4196-BCDF-8549CEE8FFF2}">
  <sheetPr codeName="Sheet3"/>
  <dimension ref="A1:E2"/>
  <sheetViews>
    <sheetView workbookViewId="0">
      <selection activeCell="I13" sqref="I13"/>
    </sheetView>
  </sheetViews>
  <sheetFormatPr baseColWidth="10" defaultColWidth="8.83203125" defaultRowHeight="15" x14ac:dyDescent="0.2"/>
  <sheetData>
    <row r="1" spans="1:5" x14ac:dyDescent="0.2">
      <c r="A1" t="s">
        <v>3</v>
      </c>
      <c r="B1">
        <v>4</v>
      </c>
      <c r="C1">
        <v>5</v>
      </c>
      <c r="D1">
        <f>area(B1,B2)</f>
        <v>20</v>
      </c>
    </row>
    <row r="2" spans="1:5" x14ac:dyDescent="0.2">
      <c r="A2" t="s">
        <v>4</v>
      </c>
      <c r="B2">
        <v>5</v>
      </c>
      <c r="C2">
        <v>-1</v>
      </c>
      <c r="D2">
        <f>area1(3,6)</f>
        <v>18</v>
      </c>
      <c r="E2" t="str">
        <f>area1(C1,-5)</f>
        <v>errore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81059-901C-4C9F-8359-51AFDB3AC18D}">
  <sheetPr codeName="Sheet4"/>
  <dimension ref="A1:F6"/>
  <sheetViews>
    <sheetView workbookViewId="0">
      <selection activeCell="F2" sqref="F2"/>
    </sheetView>
  </sheetViews>
  <sheetFormatPr baseColWidth="10" defaultColWidth="8.83203125" defaultRowHeight="15" x14ac:dyDescent="0.2"/>
  <sheetData>
    <row r="1" spans="1:6" x14ac:dyDescent="0.2">
      <c r="A1" t="s">
        <v>5</v>
      </c>
      <c r="B1">
        <v>100</v>
      </c>
      <c r="D1" t="s">
        <v>7</v>
      </c>
      <c r="E1">
        <f>PAYOFFC(B1,B2)</f>
        <v>20</v>
      </c>
    </row>
    <row r="2" spans="1:6" x14ac:dyDescent="0.2">
      <c r="A2" t="s">
        <v>6</v>
      </c>
      <c r="B2">
        <v>80</v>
      </c>
      <c r="D2" t="s">
        <v>8</v>
      </c>
      <c r="E2">
        <f>PAYOFFP(B1,B2)</f>
        <v>0</v>
      </c>
      <c r="F2" cm="1">
        <f t="array" ref="F2">PAYOFFC(100,20)</f>
        <v>80</v>
      </c>
    </row>
    <row r="5" spans="1:6" x14ac:dyDescent="0.2">
      <c r="A5" t="s">
        <v>5</v>
      </c>
      <c r="B5">
        <v>80</v>
      </c>
      <c r="D5" t="s">
        <v>7</v>
      </c>
      <c r="E5">
        <f>PAYOFFC(B5,B6)</f>
        <v>0</v>
      </c>
    </row>
    <row r="6" spans="1:6" x14ac:dyDescent="0.2">
      <c r="A6" t="s">
        <v>6</v>
      </c>
      <c r="B6">
        <v>100</v>
      </c>
      <c r="D6" t="s">
        <v>8</v>
      </c>
      <c r="E6">
        <f>PAYOFFP(B5,B6)</f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0801E-2E90-814E-8F2B-0A77AC991170}">
  <sheetPr codeName="Sheet6"/>
  <dimension ref="A1:F3"/>
  <sheetViews>
    <sheetView tabSelected="1" workbookViewId="0">
      <selection activeCell="G2" sqref="G2"/>
    </sheetView>
  </sheetViews>
  <sheetFormatPr baseColWidth="10" defaultRowHeight="15" x14ac:dyDescent="0.2"/>
  <sheetData>
    <row r="1" spans="1:6" x14ac:dyDescent="0.2">
      <c r="A1" t="s">
        <v>10</v>
      </c>
      <c r="B1" t="s">
        <v>12</v>
      </c>
      <c r="C1" t="s">
        <v>13</v>
      </c>
      <c r="D1" t="s">
        <v>14</v>
      </c>
      <c r="E1" t="s">
        <v>6</v>
      </c>
    </row>
    <row r="2" spans="1:6" x14ac:dyDescent="0.2">
      <c r="A2" t="s">
        <v>9</v>
      </c>
      <c r="B2">
        <v>650</v>
      </c>
      <c r="C2">
        <v>30</v>
      </c>
      <c r="D2">
        <f>((PAYOFFC(B3,E2)-C2)/C2)*100</f>
        <v>-100</v>
      </c>
      <c r="E2">
        <v>680</v>
      </c>
      <c r="F2" cm="1">
        <f t="array" ref="F2">C2-PAYOFFC(B3,E2)</f>
        <v>30</v>
      </c>
    </row>
    <row r="3" spans="1:6" x14ac:dyDescent="0.2">
      <c r="A3" t="s">
        <v>11</v>
      </c>
      <c r="B3">
        <v>640</v>
      </c>
      <c r="D3">
        <f>((B3-B2)/B2)*100</f>
        <v>-1.5384615384615385</v>
      </c>
      <c r="F3" cm="1">
        <f t="array" ref="F3">PAYOFFC(100,20)</f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EsempioMacro1</vt:lpstr>
      <vt:lpstr>EsempioMacro2</vt:lpstr>
      <vt:lpstr>EsempioMacro3</vt:lpstr>
      <vt:lpstr>FunzioniVBArettangolo</vt:lpstr>
      <vt:lpstr>VBAPutandCall</vt:lpstr>
      <vt:lpstr>Leverage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mrcde</dc:creator>
  <cp:lastModifiedBy>DELOGU Marco</cp:lastModifiedBy>
  <dcterms:created xsi:type="dcterms:W3CDTF">2020-03-04T09:58:48Z</dcterms:created>
  <dcterms:modified xsi:type="dcterms:W3CDTF">2020-03-17T15:34:58Z</dcterms:modified>
</cp:coreProperties>
</file>